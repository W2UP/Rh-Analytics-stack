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avi\OneDrive\Desktop\Projeto_RH\Base de Dados\Agosto\Bonus\"/>
    </mc:Choice>
  </mc:AlternateContent>
  <xr:revisionPtr revIDLastSave="0" documentId="13_ncr:1_{15139B30-EBB5-478D-9E17-34CCB9BAD31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go-2026" sheetId="1" r:id="rId1"/>
  </sheets>
  <definedNames>
    <definedName name="_xlnm._FilterDatabase" localSheetId="0" hidden="1">'Ago-2026'!$A$17:$G$120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B133" i="1"/>
  <c r="B134" i="1" s="1"/>
  <c r="C126" i="1"/>
  <c r="C125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2" i="1"/>
  <c r="D12" i="1"/>
  <c r="E11" i="1"/>
  <c r="D11" i="1"/>
  <c r="E10" i="1"/>
  <c r="D10" i="1"/>
  <c r="E9" i="1"/>
  <c r="D9" i="1"/>
  <c r="F6" i="1"/>
  <c r="C124" i="1" l="1"/>
</calcChain>
</file>

<file path=xl/sharedStrings.xml><?xml version="1.0" encoding="utf-8"?>
<sst xmlns="http://schemas.openxmlformats.org/spreadsheetml/2006/main" count="229" uniqueCount="188">
  <si>
    <t>Movéis Mania   CNPJ 50.536.170/0001-63</t>
  </si>
  <si>
    <t xml:space="preserve">Descrição </t>
  </si>
  <si>
    <t xml:space="preserve">Referência </t>
  </si>
  <si>
    <t xml:space="preserve">Vencimentos </t>
  </si>
  <si>
    <t>VALOR</t>
  </si>
  <si>
    <t xml:space="preserve">Assiduidade </t>
  </si>
  <si>
    <t xml:space="preserve">Produtividade </t>
  </si>
  <si>
    <t xml:space="preserve">Desconto </t>
  </si>
  <si>
    <t>Falta Justificada 50%</t>
  </si>
  <si>
    <t>Falta Hora Extra convocada 50%</t>
  </si>
  <si>
    <t xml:space="preserve">Nome do Colaborador </t>
  </si>
  <si>
    <t xml:space="preserve">Nascimento </t>
  </si>
  <si>
    <t>Admissão 01</t>
  </si>
  <si>
    <t xml:space="preserve">Admissão </t>
  </si>
  <si>
    <t>R$$$</t>
  </si>
  <si>
    <t>Cargo</t>
  </si>
  <si>
    <t>Falta meio Periodo 25%</t>
  </si>
  <si>
    <t>Adriana Tavares de Santana</t>
  </si>
  <si>
    <t>Liderança</t>
  </si>
  <si>
    <t>Falta Injustificada 200%</t>
  </si>
  <si>
    <t xml:space="preserve">Erick Douglas Silva </t>
  </si>
  <si>
    <t>Guilherme De Gouveia Luiz</t>
  </si>
  <si>
    <t xml:space="preserve">Matricula </t>
  </si>
  <si>
    <t xml:space="preserve">Laudiceia Perpetua Biaqui Ferreira </t>
  </si>
  <si>
    <t xml:space="preserve">Leonildo Sebastião de Amorim </t>
  </si>
  <si>
    <t>Maria do Socorro Ramos Nascimento</t>
  </si>
  <si>
    <t>Desconto (%)</t>
  </si>
  <si>
    <t>Motivo</t>
  </si>
  <si>
    <t>Renata Batista Dos Santos</t>
  </si>
  <si>
    <t>Agda Olivia Leoncio</t>
  </si>
  <si>
    <t xml:space="preserve">Rodrigo Rodrigues Murca </t>
  </si>
  <si>
    <t>Alexandre Bezerra de Freitas</t>
  </si>
  <si>
    <t>Rubens Fabio De Lima</t>
  </si>
  <si>
    <t xml:space="preserve">Ana Carolina Sant Ana Vieira </t>
  </si>
  <si>
    <t xml:space="preserve">Sarah Cindy Garcia </t>
  </si>
  <si>
    <t>Ana Paula Barbosa de Lima</t>
  </si>
  <si>
    <t>Meio Período Falta (25%) + Meio Período Atestado (25%) + Falta Integral (100%)</t>
  </si>
  <si>
    <t xml:space="preserve">Alaor Simão </t>
  </si>
  <si>
    <t>Ana Paula Ribeiro</t>
  </si>
  <si>
    <t xml:space="preserve">Antonio Rufino </t>
  </si>
  <si>
    <t>André Tavares de Santana</t>
  </si>
  <si>
    <t xml:space="preserve">Andrea da Silva Baracha </t>
  </si>
  <si>
    <t xml:space="preserve">Flávio Ricardo Perina </t>
  </si>
  <si>
    <t>Anthony Dedin da Silva</t>
  </si>
  <si>
    <t>17/08/206</t>
  </si>
  <si>
    <t xml:space="preserve">Jorge Medeiros </t>
  </si>
  <si>
    <t>Aparecida Andrea da Silva Castilho</t>
  </si>
  <si>
    <t>Falta Integral (100%) + 2x Meio Período Falta (25%) + 2x Atestado (50%)</t>
  </si>
  <si>
    <t>Falta Integral (100%)</t>
  </si>
  <si>
    <t xml:space="preserve">Beatriz da Silva Rodrigues Moura </t>
  </si>
  <si>
    <t>Meio Período Falta (25%) + Atestado (50%) + Meio Período Atestado (25%)</t>
  </si>
  <si>
    <t>Camila Viturino da Silva</t>
  </si>
  <si>
    <t xml:space="preserve">Carina Tangerino </t>
  </si>
  <si>
    <t>Carlos Eduardo Modena</t>
  </si>
  <si>
    <t>04/09/1684</t>
  </si>
  <si>
    <t xml:space="preserve">Carlos Henrique Gimenes </t>
  </si>
  <si>
    <t>Meio Período Atestado (25%)</t>
  </si>
  <si>
    <t>Carlos Wallison Gomes de Amorim</t>
  </si>
  <si>
    <t>8x Atestado (50%) + Falta Integral (100%) + Meio Período Falta (25%)</t>
  </si>
  <si>
    <t xml:space="preserve">Cicero Neto Alves Rabelo </t>
  </si>
  <si>
    <t xml:space="preserve">Cleudiane Valeria da Silva </t>
  </si>
  <si>
    <t>Daiane Araujo Nogueira</t>
  </si>
  <si>
    <t>Meio Período Falta (25%)</t>
  </si>
  <si>
    <t>Daniela da Silva Alves</t>
  </si>
  <si>
    <t>2x Meio Período Atestado (25%) + Falta Integral (100%)</t>
  </si>
  <si>
    <t xml:space="preserve">David do Nascimento Gonçalves </t>
  </si>
  <si>
    <t>Falta Integral (100%) + 3x Atestado (50%)</t>
  </si>
  <si>
    <t>David Stuqui</t>
  </si>
  <si>
    <t>Dener Luiz da Silva</t>
  </si>
  <si>
    <t>Diego Fabricio Pascoal</t>
  </si>
  <si>
    <t>Edson Eduardo Oliveira</t>
  </si>
  <si>
    <t>Eduardo Chaves De Souza</t>
  </si>
  <si>
    <t>Elaine Perpetua Marino</t>
  </si>
  <si>
    <t>Elenenira de Freitas Pereira Bezerra</t>
  </si>
  <si>
    <t xml:space="preserve">Elias Honorio  Garcia </t>
  </si>
  <si>
    <t>4x Atestado (50%)</t>
  </si>
  <si>
    <t>Emily Cristina Lima Rodrigues</t>
  </si>
  <si>
    <t>2x Atestado (50%) + 2x Meio Período Falta (25%)</t>
  </si>
  <si>
    <t>Fabiano Lourenço Carnieri</t>
  </si>
  <si>
    <t>Fernanda Soares Evangelista</t>
  </si>
  <si>
    <t xml:space="preserve">Flávio Rodrigues Santos </t>
  </si>
  <si>
    <t xml:space="preserve">Francisca Freire de Paiva Morais </t>
  </si>
  <si>
    <t>Atestado (50%)</t>
  </si>
  <si>
    <t>Gabriel Felipe Aparecido de Moraes Braz</t>
  </si>
  <si>
    <t>Gabriela Edwirges Da Silva Gonçalo</t>
  </si>
  <si>
    <t>6x Atestado (50%) + Falta Integral (100%) + Meio Período Atestado (25%)</t>
  </si>
  <si>
    <t xml:space="preserve">Geisa Ferreira da Silva </t>
  </si>
  <si>
    <t>Meio Período Falta (25%) + Meio Período Atestado (25%)</t>
  </si>
  <si>
    <t>Gleice Kely da Silva Rodrigues Barroso</t>
  </si>
  <si>
    <t>Gustavo Ribeiro</t>
  </si>
  <si>
    <t xml:space="preserve">Iris Meirele Amaro Gomes </t>
  </si>
  <si>
    <t xml:space="preserve">Israel da Silva de Sousa </t>
  </si>
  <si>
    <t>Jaime Milton de Lima</t>
  </si>
  <si>
    <t xml:space="preserve">Jassiane Vaz de Lima Gaspar </t>
  </si>
  <si>
    <t>Jéssica Nicácio Flor da Silva</t>
  </si>
  <si>
    <t>Meio Período Atestado (25%) + Falta Integral (100%)</t>
  </si>
  <si>
    <t xml:space="preserve">João Carlos Perfeito Feitosa </t>
  </si>
  <si>
    <t xml:space="preserve">Jocilene Barbosa da Silva Conceição </t>
  </si>
  <si>
    <t>José Alexsandro Pereira</t>
  </si>
  <si>
    <t>José Almeida dos Santos Neto</t>
  </si>
  <si>
    <t>Joseane Machado Martins</t>
  </si>
  <si>
    <t xml:space="preserve">Julio Cesar Pereira da Silva </t>
  </si>
  <si>
    <t>Junior Rafael Fernandes</t>
  </si>
  <si>
    <t>2x Meio Período Falta (25%)</t>
  </si>
  <si>
    <t xml:space="preserve">Kaila Regina Ferreira </t>
  </si>
  <si>
    <t>6x Falta Integral (100%) + 2x Meio Período Atestado (25%) + Atestado (50%)</t>
  </si>
  <si>
    <t>Kaique Sousa Rocha</t>
  </si>
  <si>
    <t>Katiana da Conceição Lima Ferreira</t>
  </si>
  <si>
    <t xml:space="preserve">Kely Patricia Ribeiro da Silva </t>
  </si>
  <si>
    <t>Leandro Bento Romualdo da Silva</t>
  </si>
  <si>
    <t>Leonardo Batista Rodrigues</t>
  </si>
  <si>
    <t xml:space="preserve">Leonardo Felipe Cardoso Rodrigues </t>
  </si>
  <si>
    <t>Falta Integral (100%) + 2x Meio Período Atestado (25%) + 2x Atestado (50%)</t>
  </si>
  <si>
    <t>Luana Fernandes Caetano da Silva</t>
  </si>
  <si>
    <t xml:space="preserve">Luiz Fernando de Oliveira </t>
  </si>
  <si>
    <t>Luiz Fernando Magione</t>
  </si>
  <si>
    <t>Atestado (50%) + Falta Integral (100%)</t>
  </si>
  <si>
    <t>Luiz Moreno Cappucci</t>
  </si>
  <si>
    <t>2x Falta Integral (100%) + 4x Atestado (50%) + Meio Período Atestado (25%) + Meio Período Falta (25%)</t>
  </si>
  <si>
    <t>Maicon Denis Fernandes Santana</t>
  </si>
  <si>
    <t>Maicon Douglas Marion</t>
  </si>
  <si>
    <t xml:space="preserve">Mara Ivanirlly Dos Santos Miranda </t>
  </si>
  <si>
    <t xml:space="preserve">Marcela Cristina da Silva </t>
  </si>
  <si>
    <t>2x Falta Integral (100%) + Atestado (50%)</t>
  </si>
  <si>
    <t xml:space="preserve">Marcela Fernanda Cestari </t>
  </si>
  <si>
    <t xml:space="preserve">Marcela Valentin </t>
  </si>
  <si>
    <t>Marcos Alexandre Alves Mazin</t>
  </si>
  <si>
    <t>2x Meio Período Falta (25%) + Atestado (50%)</t>
  </si>
  <si>
    <t xml:space="preserve">Marcos Bianchi da Cunha </t>
  </si>
  <si>
    <t>2x Atestado (50%) + Meio Período Falta (25%) + 3x Meio Período Atestado (25%)</t>
  </si>
  <si>
    <t xml:space="preserve">Maria Guilherme da Silva </t>
  </si>
  <si>
    <t xml:space="preserve">Maria Jose Barbosa Ferreira da Silva </t>
  </si>
  <si>
    <t>Maria José de Jesus Vieira</t>
  </si>
  <si>
    <t>2x Meio Período Falta (25%) + Meio Período Atestado (25%)</t>
  </si>
  <si>
    <t xml:space="preserve">Mariane Pires Ferreira </t>
  </si>
  <si>
    <t>Meio Período Atestado (25%) + Meio Período Falta (25%)</t>
  </si>
  <si>
    <t>Mariene Pereira Dos Anjos</t>
  </si>
  <si>
    <t xml:space="preserve">Marilene Pereira da Silva </t>
  </si>
  <si>
    <t>Marisete Mazin</t>
  </si>
  <si>
    <t>Nicolas Wagner da Silva</t>
  </si>
  <si>
    <t xml:space="preserve">Patricia Leite Cerqueira </t>
  </si>
  <si>
    <t xml:space="preserve">Paulo Sergio Pereira </t>
  </si>
  <si>
    <t>Pedro Henrique Bortolim da Silva</t>
  </si>
  <si>
    <t>Polyana Nara Fazan</t>
  </si>
  <si>
    <t>Meio Período Atestado (25%) + 3x Atestado (50%)</t>
  </si>
  <si>
    <t xml:space="preserve">Priscila Aparecida Cerqueira </t>
  </si>
  <si>
    <t xml:space="preserve">Rafael de Araujo Silva </t>
  </si>
  <si>
    <t xml:space="preserve">Rafaela da Silva Teixeira </t>
  </si>
  <si>
    <t xml:space="preserve">Raquel Luciana Sebastião Poletti </t>
  </si>
  <si>
    <t>Risoneide Rosa Da Silva Alves</t>
  </si>
  <si>
    <t>Taina de Lima da Costa</t>
  </si>
  <si>
    <t xml:space="preserve">Ronilson Alves de Lima </t>
  </si>
  <si>
    <t xml:space="preserve">Rosana Sebastião </t>
  </si>
  <si>
    <t xml:space="preserve">Ryan Jason Batista de Souza </t>
  </si>
  <si>
    <t>Meio Período Falta (25%) + 7x Falta Integral (100%)</t>
  </si>
  <si>
    <t>Simone Bortoli</t>
  </si>
  <si>
    <t>Taylene Castilho</t>
  </si>
  <si>
    <t>Tiago de Andrade Gomes</t>
  </si>
  <si>
    <t xml:space="preserve">Tiago Henrique do Nascimento Duarte </t>
  </si>
  <si>
    <t xml:space="preserve">Vagner Lara Dultra </t>
  </si>
  <si>
    <t>3x Atestado (50%)</t>
  </si>
  <si>
    <t>Vanderleia Cristina Galharde</t>
  </si>
  <si>
    <t>Atestado (50%) + Meio Período Falta (25%) + 2x Meio Período Atestado (25%)</t>
  </si>
  <si>
    <t>Victor Henrique Daluia</t>
  </si>
  <si>
    <t>Falta Integral (100%) + Atestado (50%) + Meio Período Falta (25%)</t>
  </si>
  <si>
    <t>Vitoria Canossa</t>
  </si>
  <si>
    <t>2x Meio Período Atestado (25%)</t>
  </si>
  <si>
    <t>Vitória Carolina Novaes Luiz</t>
  </si>
  <si>
    <t>Atestado (50%) + Meio Período Atestado (25%) + Falta Integral (100%) + Meio Período Falta (25%)</t>
  </si>
  <si>
    <t>Viviane Ventura Da Silva</t>
  </si>
  <si>
    <t>6x Atestado (50%)</t>
  </si>
  <si>
    <t xml:space="preserve">Welington Augusto Filho </t>
  </si>
  <si>
    <t>Yasmin Aparecida Bataline</t>
  </si>
  <si>
    <t>TOTAL</t>
  </si>
  <si>
    <t>TOTAL GERAL</t>
  </si>
  <si>
    <t>Colaboradores + Liderança</t>
  </si>
  <si>
    <t>Colaboradores Ativos</t>
  </si>
  <si>
    <t>Leandro Ramos</t>
  </si>
  <si>
    <t>Matheus Tamaguchi</t>
  </si>
  <si>
    <t xml:space="preserve">Sistema </t>
  </si>
  <si>
    <t>Planilha</t>
  </si>
  <si>
    <t xml:space="preserve">DIF </t>
  </si>
  <si>
    <t>4 Atestados + 3 Faltas Integrais (100%)</t>
  </si>
  <si>
    <t>3x Atestados (100%)</t>
  </si>
  <si>
    <t>2 Atestados + Falta Integral (100%)</t>
  </si>
  <si>
    <t>2 Atestados, 1 meio perido, 1 integral  (75%)</t>
  </si>
  <si>
    <t>Meio Período Falta (25%)miacon</t>
  </si>
  <si>
    <t xml:space="preserve">Beatris Tavares Félix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</si>
</sst>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4">
    <xf numFmtId="0" fontId="0" fillId="0" borderId="0"/>
    <xf numFmtId="44" fontId="1" fillId="0" borderId="0"/>
    <xf numFmtId="44" fontId="1" fillId="0" borderId="0"/>
    <xf numFmtId="43" fontId="1" fillId="0" borderId="0"/>
  </cellStyleXfs>
  <cellXfs count="98">
    <xf numFmtId="0" fontId="0" fillId="0" borderId="0" xfId="0"/>
    <xf numFmtId="0" fontId="0" fillId="0" borderId="2" xfId="0" applyBorder="1"/>
    <xf numFmtId="0" fontId="0" fillId="2" borderId="2" xfId="0" applyFill="1" applyBorder="1"/>
    <xf numFmtId="0" fontId="4" fillId="0" borderId="10" xfId="0" applyFont="1" applyBorder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3" fillId="2" borderId="10" xfId="0" applyFont="1" applyFill="1" applyBorder="1"/>
    <xf numFmtId="14" fontId="4" fillId="2" borderId="2" xfId="0" applyNumberFormat="1" applyFont="1" applyFill="1" applyBorder="1" applyAlignment="1">
      <alignment horizontal="left"/>
    </xf>
    <xf numFmtId="0" fontId="4" fillId="2" borderId="10" xfId="0" applyFont="1" applyFill="1" applyBorder="1"/>
    <xf numFmtId="14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14" fontId="6" fillId="2" borderId="2" xfId="0" applyNumberFormat="1" applyFont="1" applyFill="1" applyBorder="1" applyAlignment="1">
      <alignment horizontal="left"/>
    </xf>
    <xf numFmtId="14" fontId="4" fillId="2" borderId="10" xfId="0" applyNumberFormat="1" applyFont="1" applyFill="1" applyBorder="1" applyAlignment="1">
      <alignment horizontal="center"/>
    </xf>
    <xf numFmtId="14" fontId="3" fillId="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8" xfId="0" applyFont="1" applyBorder="1"/>
    <xf numFmtId="0" fontId="4" fillId="0" borderId="2" xfId="0" applyFont="1" applyBorder="1"/>
    <xf numFmtId="0" fontId="7" fillId="0" borderId="2" xfId="0" applyFont="1" applyBorder="1"/>
    <xf numFmtId="9" fontId="4" fillId="0" borderId="2" xfId="0" applyNumberFormat="1" applyFont="1" applyBorder="1"/>
    <xf numFmtId="44" fontId="7" fillId="0" borderId="2" xfId="1" applyFont="1" applyBorder="1"/>
    <xf numFmtId="44" fontId="4" fillId="0" borderId="2" xfId="1" applyFont="1" applyBorder="1"/>
    <xf numFmtId="14" fontId="4" fillId="2" borderId="12" xfId="0" applyNumberFormat="1" applyFont="1" applyFill="1" applyBorder="1" applyAlignment="1">
      <alignment horizontal="left"/>
    </xf>
    <xf numFmtId="0" fontId="3" fillId="2" borderId="2" xfId="0" applyFont="1" applyFill="1" applyBorder="1"/>
    <xf numFmtId="14" fontId="3" fillId="2" borderId="2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14" fontId="4" fillId="2" borderId="8" xfId="0" applyNumberFormat="1" applyFont="1" applyFill="1" applyBorder="1" applyAlignment="1">
      <alignment horizontal="left"/>
    </xf>
    <xf numFmtId="44" fontId="0" fillId="0" borderId="13" xfId="0" applyNumberFormat="1" applyBorder="1"/>
    <xf numFmtId="0" fontId="11" fillId="2" borderId="13" xfId="0" applyFont="1" applyFill="1" applyBorder="1"/>
    <xf numFmtId="14" fontId="11" fillId="2" borderId="13" xfId="0" applyNumberFormat="1" applyFont="1" applyFill="1" applyBorder="1" applyAlignment="1">
      <alignment horizontal="center"/>
    </xf>
    <xf numFmtId="14" fontId="11" fillId="2" borderId="13" xfId="0" applyNumberFormat="1" applyFont="1" applyFill="1" applyBorder="1" applyAlignment="1">
      <alignment horizontal="left"/>
    </xf>
    <xf numFmtId="14" fontId="4" fillId="2" borderId="13" xfId="0" applyNumberFormat="1" applyFont="1" applyFill="1" applyBorder="1" applyAlignment="1">
      <alignment horizontal="left"/>
    </xf>
    <xf numFmtId="0" fontId="3" fillId="2" borderId="13" xfId="0" applyFont="1" applyFill="1" applyBorder="1"/>
    <xf numFmtId="14" fontId="3" fillId="2" borderId="13" xfId="0" applyNumberFormat="1" applyFont="1" applyFill="1" applyBorder="1" applyAlignment="1">
      <alignment horizontal="center"/>
    </xf>
    <xf numFmtId="0" fontId="4" fillId="2" borderId="13" xfId="0" applyFont="1" applyFill="1" applyBorder="1"/>
    <xf numFmtId="14" fontId="4" fillId="2" borderId="13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left"/>
    </xf>
    <xf numFmtId="0" fontId="12" fillId="3" borderId="13" xfId="0" applyFont="1" applyFill="1" applyBorder="1"/>
    <xf numFmtId="0" fontId="13" fillId="3" borderId="13" xfId="0" applyFont="1" applyFill="1" applyBorder="1"/>
    <xf numFmtId="14" fontId="12" fillId="3" borderId="13" xfId="0" applyNumberFormat="1" applyFont="1" applyFill="1" applyBorder="1" applyAlignment="1">
      <alignment horizontal="left"/>
    </xf>
    <xf numFmtId="17" fontId="2" fillId="0" borderId="0" xfId="0" applyNumberFormat="1" applyFont="1"/>
    <xf numFmtId="0" fontId="2" fillId="0" borderId="0" xfId="0" applyFont="1"/>
    <xf numFmtId="0" fontId="7" fillId="0" borderId="11" xfId="0" applyFont="1" applyBorder="1"/>
    <xf numFmtId="0" fontId="4" fillId="2" borderId="4" xfId="0" applyFont="1" applyFill="1" applyBorder="1"/>
    <xf numFmtId="14" fontId="4" fillId="2" borderId="4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left"/>
    </xf>
    <xf numFmtId="44" fontId="2" fillId="0" borderId="2" xfId="1" applyFont="1" applyBorder="1"/>
    <xf numFmtId="0" fontId="5" fillId="0" borderId="2" xfId="0" applyFont="1" applyBorder="1"/>
    <xf numFmtId="44" fontId="0" fillId="0" borderId="14" xfId="0" applyNumberFormat="1" applyBorder="1"/>
    <xf numFmtId="9" fontId="0" fillId="0" borderId="2" xfId="3" applyNumberFormat="1" applyFont="1" applyBorder="1"/>
    <xf numFmtId="0" fontId="0" fillId="0" borderId="10" xfId="0" applyBorder="1"/>
    <xf numFmtId="14" fontId="4" fillId="0" borderId="2" xfId="0" applyNumberFormat="1" applyFont="1" applyBorder="1" applyAlignment="1">
      <alignment horizontal="left"/>
    </xf>
    <xf numFmtId="14" fontId="4" fillId="0" borderId="8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10" xfId="0" applyFill="1" applyBorder="1"/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4" fontId="10" fillId="4" borderId="8" xfId="0" applyNumberFormat="1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/>
    </xf>
    <xf numFmtId="0" fontId="0" fillId="0" borderId="2" xfId="0" quotePrefix="1" applyBorder="1"/>
    <xf numFmtId="0" fontId="4" fillId="5" borderId="2" xfId="0" applyFont="1" applyFill="1" applyBorder="1" applyAlignment="1">
      <alignment horizontal="left" vertical="center"/>
    </xf>
    <xf numFmtId="0" fontId="0" fillId="0" borderId="8" xfId="0" applyBorder="1"/>
    <xf numFmtId="44" fontId="0" fillId="6" borderId="2" xfId="0" applyNumberFormat="1" applyFill="1" applyBorder="1"/>
    <xf numFmtId="0" fontId="0" fillId="5" borderId="2" xfId="0" applyFill="1" applyBorder="1" applyAlignment="1">
      <alignment horizontal="left" vertical="center"/>
    </xf>
    <xf numFmtId="44" fontId="0" fillId="6" borderId="2" xfId="0" applyNumberFormat="1" applyFill="1" applyBorder="1" applyAlignment="1">
      <alignment horizontal="center"/>
    </xf>
    <xf numFmtId="0" fontId="2" fillId="5" borderId="2" xfId="0" applyFont="1" applyFill="1" applyBorder="1"/>
    <xf numFmtId="0" fontId="0" fillId="6" borderId="2" xfId="0" applyFill="1" applyBorder="1"/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14" fontId="6" fillId="5" borderId="2" xfId="0" applyNumberFormat="1" applyFont="1" applyFill="1" applyBorder="1" applyAlignment="1">
      <alignment horizontal="left"/>
    </xf>
    <xf numFmtId="14" fontId="4" fillId="5" borderId="2" xfId="0" applyNumberFormat="1" applyFont="1" applyFill="1" applyBorder="1" applyAlignment="1">
      <alignment horizontal="left"/>
    </xf>
    <xf numFmtId="0" fontId="13" fillId="5" borderId="2" xfId="0" applyFont="1" applyFill="1" applyBorder="1"/>
    <xf numFmtId="44" fontId="4" fillId="0" borderId="2" xfId="1" applyFont="1" applyBorder="1" applyAlignment="1">
      <alignment horizontal="center"/>
    </xf>
    <xf numFmtId="0" fontId="0" fillId="0" borderId="10" xfId="0" applyBorder="1"/>
    <xf numFmtId="0" fontId="7" fillId="0" borderId="1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3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44" fontId="7" fillId="0" borderId="11" xfId="1" applyFont="1" applyBorder="1" applyAlignment="1">
      <alignment horizontal="center"/>
    </xf>
    <xf numFmtId="17" fontId="2" fillId="0" borderId="13" xfId="0" applyNumberFormat="1" applyFont="1" applyBorder="1" applyAlignment="1">
      <alignment horizontal="center"/>
    </xf>
  </cellXfs>
  <cellStyles count="4">
    <cellStyle name="Moeda" xfId="1" builtinId="4"/>
    <cellStyle name="Moeda 2" xfId="2" xr:uid="{00000000-0005-0000-0000-000002000000}"/>
    <cellStyle name="Normal" xfId="0" builtinId="0"/>
    <cellStyle name="Vírgula" xfId="3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34"/>
  <sheetViews>
    <sheetView tabSelected="1" topLeftCell="A34" workbookViewId="0">
      <selection activeCell="G57" sqref="G57"/>
    </sheetView>
  </sheetViews>
  <sheetFormatPr defaultRowHeight="15" x14ac:dyDescent="0.25"/>
  <cols>
    <col min="1" max="1" width="39.28515625" bestFit="1" customWidth="1"/>
    <col min="2" max="2" width="21.140625" hidden="1" customWidth="1"/>
    <col min="3" max="3" width="14.7109375" customWidth="1"/>
    <col min="4" max="4" width="13.28515625" bestFit="1" customWidth="1"/>
    <col min="5" max="5" width="14" bestFit="1" customWidth="1"/>
    <col min="6" max="6" width="13.28515625" bestFit="1" customWidth="1"/>
    <col min="7" max="7" width="88.42578125" bestFit="1" customWidth="1"/>
    <col min="8" max="8" width="17.5703125" customWidth="1"/>
    <col min="12" max="12" width="36" bestFit="1" customWidth="1"/>
    <col min="13" max="13" width="12" bestFit="1" customWidth="1"/>
    <col min="14" max="14" width="13.28515625" bestFit="1" customWidth="1"/>
    <col min="15" max="15" width="11.85546875" bestFit="1" customWidth="1"/>
  </cols>
  <sheetData>
    <row r="2" spans="1:17" x14ac:dyDescent="0.25">
      <c r="A2" s="93" t="s">
        <v>0</v>
      </c>
      <c r="B2" s="94"/>
      <c r="C2" s="94"/>
      <c r="D2" s="94"/>
      <c r="E2" s="95"/>
      <c r="F2" s="55"/>
      <c r="G2" s="55"/>
      <c r="H2" s="55"/>
    </row>
    <row r="3" spans="1:17" x14ac:dyDescent="0.25">
      <c r="A3" s="97">
        <v>46174</v>
      </c>
      <c r="B3" s="94"/>
      <c r="C3" s="94"/>
      <c r="D3" s="94"/>
      <c r="E3" s="95"/>
      <c r="F3" s="54"/>
      <c r="G3" s="54"/>
      <c r="H3" s="54"/>
    </row>
    <row r="4" spans="1:17" ht="15.75" customHeight="1" x14ac:dyDescent="0.25">
      <c r="A4" s="89" t="s">
        <v>1</v>
      </c>
      <c r="B4" s="90"/>
      <c r="C4" s="56" t="s">
        <v>2</v>
      </c>
      <c r="D4" s="96" t="s">
        <v>3</v>
      </c>
      <c r="E4" s="92"/>
    </row>
    <row r="5" spans="1:17" ht="15.75" customHeight="1" x14ac:dyDescent="0.25">
      <c r="A5" s="91"/>
      <c r="B5" s="92"/>
      <c r="C5" s="21"/>
      <c r="D5" s="23">
        <v>250</v>
      </c>
      <c r="E5" s="23">
        <v>500</v>
      </c>
      <c r="F5" s="67" t="s">
        <v>4</v>
      </c>
    </row>
    <row r="6" spans="1:17" ht="15.75" customHeight="1" x14ac:dyDescent="0.25">
      <c r="A6" s="19" t="s">
        <v>5</v>
      </c>
      <c r="B6" s="18"/>
      <c r="C6" s="22">
        <v>1</v>
      </c>
      <c r="D6" s="24">
        <v>100</v>
      </c>
      <c r="E6" s="24"/>
      <c r="F6" s="68">
        <f>D5/22</f>
        <v>11.363636363636363</v>
      </c>
    </row>
    <row r="7" spans="1:17" ht="15.75" customHeight="1" x14ac:dyDescent="0.25">
      <c r="A7" s="19" t="s">
        <v>6</v>
      </c>
      <c r="B7" s="18"/>
      <c r="C7" s="22">
        <v>1</v>
      </c>
      <c r="D7" s="24">
        <v>150</v>
      </c>
      <c r="E7" s="24"/>
    </row>
    <row r="8" spans="1:17" ht="15.75" customHeight="1" x14ac:dyDescent="0.25">
      <c r="A8" s="19"/>
      <c r="B8" s="18"/>
      <c r="C8" s="19"/>
      <c r="D8" s="87" t="s">
        <v>7</v>
      </c>
      <c r="E8" s="88"/>
    </row>
    <row r="9" spans="1:17" ht="15.75" customHeight="1" x14ac:dyDescent="0.25">
      <c r="A9" s="20" t="s">
        <v>8</v>
      </c>
      <c r="B9" s="20"/>
      <c r="C9" s="22">
        <v>0</v>
      </c>
      <c r="D9" s="24">
        <f>D5*50%</f>
        <v>125</v>
      </c>
      <c r="E9" s="24">
        <f>E5*50%</f>
        <v>250</v>
      </c>
    </row>
    <row r="10" spans="1:17" ht="15.75" customHeight="1" x14ac:dyDescent="0.25">
      <c r="A10" s="20" t="s">
        <v>9</v>
      </c>
      <c r="B10" s="20"/>
      <c r="C10" s="22">
        <v>0</v>
      </c>
      <c r="D10" s="24">
        <f>D5*50%</f>
        <v>125</v>
      </c>
      <c r="E10" s="24">
        <f>E5*50%</f>
        <v>250</v>
      </c>
      <c r="L10" s="35" t="s">
        <v>10</v>
      </c>
      <c r="M10" s="4" t="s">
        <v>11</v>
      </c>
      <c r="N10" s="5" t="s">
        <v>12</v>
      </c>
      <c r="O10" s="6" t="s">
        <v>13</v>
      </c>
      <c r="P10" s="39" t="s">
        <v>14</v>
      </c>
      <c r="Q10" s="38" t="s">
        <v>15</v>
      </c>
    </row>
    <row r="11" spans="1:17" ht="15.75" customHeight="1" x14ac:dyDescent="0.25">
      <c r="A11" s="20" t="s">
        <v>16</v>
      </c>
      <c r="B11" s="20"/>
      <c r="C11" s="22">
        <v>0</v>
      </c>
      <c r="D11" s="24">
        <f>D5*25%</f>
        <v>62.5</v>
      </c>
      <c r="E11" s="24">
        <f>E5*50%</f>
        <v>250</v>
      </c>
      <c r="L11" s="42" t="s">
        <v>17</v>
      </c>
      <c r="M11" s="43">
        <v>36411</v>
      </c>
      <c r="N11" s="44"/>
      <c r="O11" s="45">
        <v>45810</v>
      </c>
      <c r="P11" s="41"/>
      <c r="Q11" s="38" t="s">
        <v>18</v>
      </c>
    </row>
    <row r="12" spans="1:17" ht="15.75" customHeight="1" x14ac:dyDescent="0.25">
      <c r="A12" s="20" t="s">
        <v>19</v>
      </c>
      <c r="B12" s="20"/>
      <c r="C12" s="22">
        <v>0</v>
      </c>
      <c r="D12" s="24">
        <f>D5*100%</f>
        <v>250</v>
      </c>
      <c r="E12" s="24">
        <f>E5*100%</f>
        <v>500</v>
      </c>
      <c r="L12" s="46" t="s">
        <v>20</v>
      </c>
      <c r="M12" s="47">
        <v>32921</v>
      </c>
      <c r="N12" s="45"/>
      <c r="O12" s="45">
        <v>45748</v>
      </c>
      <c r="P12" s="41"/>
      <c r="Q12" s="38" t="s">
        <v>18</v>
      </c>
    </row>
    <row r="13" spans="1:17" ht="15.75" customHeight="1" x14ac:dyDescent="0.25">
      <c r="A13" s="30"/>
      <c r="B13" s="31"/>
      <c r="C13" s="31"/>
      <c r="D13" s="32"/>
      <c r="E13" s="33"/>
      <c r="L13" s="48" t="s">
        <v>21</v>
      </c>
      <c r="M13" s="49">
        <v>36927</v>
      </c>
      <c r="N13" s="45">
        <v>44812</v>
      </c>
      <c r="O13" s="45">
        <v>45208</v>
      </c>
      <c r="P13" s="41"/>
      <c r="Q13" s="38" t="s">
        <v>18</v>
      </c>
    </row>
    <row r="14" spans="1:17" ht="15.75" customHeight="1" x14ac:dyDescent="0.25">
      <c r="A14" s="4" t="s">
        <v>22</v>
      </c>
      <c r="B14" s="4" t="s">
        <v>10</v>
      </c>
      <c r="C14" s="4" t="s">
        <v>11</v>
      </c>
      <c r="D14" s="5" t="s">
        <v>12</v>
      </c>
      <c r="E14" s="6" t="s">
        <v>13</v>
      </c>
      <c r="L14" s="48" t="s">
        <v>23</v>
      </c>
      <c r="M14" s="49">
        <v>28244</v>
      </c>
      <c r="N14" s="45">
        <v>44652</v>
      </c>
      <c r="O14" s="45">
        <v>45857</v>
      </c>
      <c r="P14" s="41"/>
      <c r="Q14" s="38" t="s">
        <v>18</v>
      </c>
    </row>
    <row r="15" spans="1:17" ht="15.75" customHeight="1" x14ac:dyDescent="0.25">
      <c r="L15" s="48" t="s">
        <v>24</v>
      </c>
      <c r="M15" s="49">
        <v>37999</v>
      </c>
      <c r="N15" s="45">
        <v>45733</v>
      </c>
      <c r="O15" s="45">
        <v>45748</v>
      </c>
      <c r="P15" s="41"/>
      <c r="Q15" s="38" t="s">
        <v>18</v>
      </c>
    </row>
    <row r="16" spans="1:17" ht="15.75" customHeight="1" x14ac:dyDescent="0.25">
      <c r="A16" s="34"/>
      <c r="B16" s="34"/>
      <c r="C16" s="34"/>
      <c r="D16" s="34"/>
      <c r="L16" s="48" t="s">
        <v>25</v>
      </c>
      <c r="M16" s="49">
        <v>32401</v>
      </c>
      <c r="N16" s="50">
        <v>44316</v>
      </c>
      <c r="O16" s="45">
        <v>45814</v>
      </c>
      <c r="P16" s="41"/>
      <c r="Q16" s="38" t="s">
        <v>18</v>
      </c>
    </row>
    <row r="17" spans="1:17" ht="24.75" customHeight="1" x14ac:dyDescent="0.25">
      <c r="A17" s="70" t="s">
        <v>10</v>
      </c>
      <c r="B17" s="70" t="s">
        <v>11</v>
      </c>
      <c r="C17" s="71" t="s">
        <v>12</v>
      </c>
      <c r="D17" s="72" t="s">
        <v>13</v>
      </c>
      <c r="E17" s="73" t="s">
        <v>14</v>
      </c>
      <c r="F17" s="70" t="s">
        <v>26</v>
      </c>
      <c r="G17" s="70" t="s">
        <v>27</v>
      </c>
      <c r="L17" s="46" t="s">
        <v>28</v>
      </c>
      <c r="M17" s="47">
        <v>32265</v>
      </c>
      <c r="N17" s="45">
        <v>45412</v>
      </c>
      <c r="O17" s="45">
        <v>45454</v>
      </c>
      <c r="P17" s="41"/>
      <c r="Q17" s="38" t="s">
        <v>18</v>
      </c>
    </row>
    <row r="18" spans="1:17" ht="15.75" customHeight="1" x14ac:dyDescent="0.25">
      <c r="A18" s="9" t="s">
        <v>29</v>
      </c>
      <c r="B18" s="13">
        <v>26529</v>
      </c>
      <c r="C18" s="8"/>
      <c r="D18" s="40">
        <v>45912</v>
      </c>
      <c r="E18" s="62">
        <f t="shared" ref="E18:E47" si="0">250 - (250 *F18)</f>
        <v>250</v>
      </c>
      <c r="F18" s="63">
        <v>0</v>
      </c>
      <c r="G18" s="1"/>
      <c r="L18" s="46" t="s">
        <v>30</v>
      </c>
      <c r="M18" s="47">
        <v>34310</v>
      </c>
      <c r="N18" s="45">
        <v>45748</v>
      </c>
      <c r="O18" s="45">
        <v>45779</v>
      </c>
      <c r="P18" s="41"/>
      <c r="Q18" s="38" t="s">
        <v>18</v>
      </c>
    </row>
    <row r="19" spans="1:17" ht="15.75" customHeight="1" x14ac:dyDescent="0.25">
      <c r="A19" s="64" t="s">
        <v>31</v>
      </c>
      <c r="B19" s="64"/>
      <c r="C19" s="1"/>
      <c r="D19" s="40">
        <v>46195</v>
      </c>
      <c r="E19" s="62">
        <f t="shared" si="0"/>
        <v>250</v>
      </c>
      <c r="F19" s="63">
        <v>0</v>
      </c>
      <c r="G19" s="1"/>
      <c r="L19" s="48" t="s">
        <v>32</v>
      </c>
      <c r="M19" s="49">
        <v>29019</v>
      </c>
      <c r="N19" s="45">
        <v>45017</v>
      </c>
      <c r="O19" s="45">
        <v>45078</v>
      </c>
      <c r="P19" s="41"/>
      <c r="Q19" s="38" t="s">
        <v>18</v>
      </c>
    </row>
    <row r="20" spans="1:17" ht="15.75" customHeight="1" x14ac:dyDescent="0.25">
      <c r="A20" s="9" t="s">
        <v>33</v>
      </c>
      <c r="B20" s="13"/>
      <c r="C20" s="8"/>
      <c r="D20" s="40">
        <v>46001</v>
      </c>
      <c r="E20" s="62">
        <f t="shared" si="0"/>
        <v>250</v>
      </c>
      <c r="F20" s="63">
        <v>0</v>
      </c>
      <c r="G20" s="1"/>
      <c r="L20" s="48" t="s">
        <v>34</v>
      </c>
      <c r="M20" s="49">
        <v>38161</v>
      </c>
      <c r="N20" s="45"/>
      <c r="O20" s="45">
        <v>45717</v>
      </c>
      <c r="P20" s="41"/>
      <c r="Q20" s="38" t="s">
        <v>18</v>
      </c>
    </row>
    <row r="21" spans="1:17" ht="15.75" customHeight="1" x14ac:dyDescent="0.25">
      <c r="A21" s="9" t="s">
        <v>35</v>
      </c>
      <c r="B21" s="13"/>
      <c r="C21" s="8"/>
      <c r="D21" s="40">
        <v>46181</v>
      </c>
      <c r="E21" s="62">
        <f t="shared" si="0"/>
        <v>0</v>
      </c>
      <c r="F21" s="63">
        <v>1</v>
      </c>
      <c r="G21" s="20" t="s">
        <v>36</v>
      </c>
      <c r="L21" s="51" t="s">
        <v>37</v>
      </c>
      <c r="M21" s="52"/>
      <c r="N21" s="52"/>
      <c r="O21" s="52"/>
      <c r="P21" s="41"/>
      <c r="Q21" s="39" t="s">
        <v>18</v>
      </c>
    </row>
    <row r="22" spans="1:17" ht="15.75" customHeight="1" x14ac:dyDescent="0.25">
      <c r="A22" s="9" t="s">
        <v>38</v>
      </c>
      <c r="B22" s="13">
        <v>33684</v>
      </c>
      <c r="C22" s="8">
        <v>44774</v>
      </c>
      <c r="D22" s="40">
        <v>45219</v>
      </c>
      <c r="E22" s="62">
        <f t="shared" si="0"/>
        <v>250</v>
      </c>
      <c r="F22" s="63">
        <v>0</v>
      </c>
      <c r="G22" s="74"/>
      <c r="L22" s="51" t="s">
        <v>39</v>
      </c>
      <c r="M22" s="52"/>
      <c r="N22" s="52"/>
      <c r="O22" s="52"/>
      <c r="P22" s="41"/>
      <c r="Q22" s="39" t="s">
        <v>18</v>
      </c>
    </row>
    <row r="23" spans="1:17" ht="15.75" customHeight="1" x14ac:dyDescent="0.25">
      <c r="A23" s="9" t="s">
        <v>40</v>
      </c>
      <c r="B23" s="13">
        <v>38645</v>
      </c>
      <c r="C23" s="8"/>
      <c r="D23" s="40">
        <v>45853</v>
      </c>
      <c r="E23" s="62">
        <f t="shared" si="0"/>
        <v>250</v>
      </c>
      <c r="F23" s="63">
        <v>0</v>
      </c>
      <c r="G23" s="1"/>
    </row>
    <row r="24" spans="1:17" ht="15.75" customHeight="1" x14ac:dyDescent="0.25">
      <c r="A24" s="9" t="s">
        <v>41</v>
      </c>
      <c r="B24" s="37"/>
      <c r="C24" s="36"/>
      <c r="D24" s="40">
        <v>46157</v>
      </c>
      <c r="E24" s="62">
        <f t="shared" si="0"/>
        <v>250</v>
      </c>
      <c r="F24" s="63">
        <v>0</v>
      </c>
      <c r="G24" s="1"/>
      <c r="L24" s="51" t="s">
        <v>42</v>
      </c>
      <c r="M24" s="53"/>
      <c r="N24" s="53"/>
      <c r="O24" s="52"/>
      <c r="P24" s="41"/>
      <c r="Q24" s="39" t="s">
        <v>18</v>
      </c>
    </row>
    <row r="25" spans="1:17" ht="15.75" customHeight="1" x14ac:dyDescent="0.25">
      <c r="A25" s="9" t="s">
        <v>43</v>
      </c>
      <c r="B25" s="13"/>
      <c r="C25" s="8"/>
      <c r="D25" s="40" t="s">
        <v>44</v>
      </c>
      <c r="E25" s="62">
        <v>124</v>
      </c>
      <c r="F25" s="63">
        <v>0</v>
      </c>
      <c r="G25" s="1"/>
      <c r="L25" s="51" t="s">
        <v>45</v>
      </c>
      <c r="M25" s="52"/>
      <c r="N25" s="52"/>
      <c r="O25" s="52"/>
      <c r="P25" s="41"/>
      <c r="Q25" s="39" t="s">
        <v>18</v>
      </c>
    </row>
    <row r="26" spans="1:17" ht="15.75" customHeight="1" x14ac:dyDescent="0.25">
      <c r="A26" s="9" t="s">
        <v>46</v>
      </c>
      <c r="B26" s="64"/>
      <c r="C26" s="1"/>
      <c r="D26" s="40">
        <v>46174</v>
      </c>
      <c r="E26" s="62">
        <f t="shared" si="0"/>
        <v>0</v>
      </c>
      <c r="F26" s="63">
        <v>1</v>
      </c>
      <c r="G26" s="1" t="s">
        <v>47</v>
      </c>
    </row>
    <row r="27" spans="1:17" ht="15.75" customHeight="1" x14ac:dyDescent="0.25">
      <c r="A27" s="9" t="s">
        <v>187</v>
      </c>
      <c r="B27" s="13">
        <v>37089</v>
      </c>
      <c r="C27" s="8"/>
      <c r="D27" s="40"/>
      <c r="E27" s="62">
        <f t="shared" si="0"/>
        <v>0</v>
      </c>
      <c r="F27" s="63">
        <v>1</v>
      </c>
      <c r="G27" s="1" t="s">
        <v>48</v>
      </c>
    </row>
    <row r="28" spans="1:17" ht="15.75" customHeight="1" x14ac:dyDescent="0.25">
      <c r="A28" s="9" t="s">
        <v>49</v>
      </c>
      <c r="B28" s="13">
        <v>45827</v>
      </c>
      <c r="C28" s="8"/>
      <c r="D28" s="40">
        <v>45873</v>
      </c>
      <c r="E28" s="62">
        <f t="shared" si="0"/>
        <v>0</v>
      </c>
      <c r="F28" s="63">
        <v>1</v>
      </c>
      <c r="G28" s="1" t="s">
        <v>50</v>
      </c>
    </row>
    <row r="29" spans="1:17" ht="15.75" customHeight="1" x14ac:dyDescent="0.25">
      <c r="A29" s="9" t="s">
        <v>51</v>
      </c>
      <c r="B29" s="13"/>
      <c r="C29" s="8"/>
      <c r="D29" s="40"/>
      <c r="E29" s="62">
        <f t="shared" si="0"/>
        <v>250</v>
      </c>
      <c r="F29" s="63">
        <v>0</v>
      </c>
      <c r="G29" s="1"/>
    </row>
    <row r="30" spans="1:17" ht="15.75" customHeight="1" x14ac:dyDescent="0.25">
      <c r="A30" s="7" t="s">
        <v>52</v>
      </c>
      <c r="B30" s="14">
        <v>29315</v>
      </c>
      <c r="C30" s="8">
        <v>44866</v>
      </c>
      <c r="D30" s="40">
        <v>45691</v>
      </c>
      <c r="E30" s="62">
        <f t="shared" si="0"/>
        <v>250</v>
      </c>
      <c r="F30" s="63">
        <v>0</v>
      </c>
      <c r="G30" s="1"/>
    </row>
    <row r="31" spans="1:17" ht="15.75" customHeight="1" x14ac:dyDescent="0.25">
      <c r="A31" s="9" t="s">
        <v>53</v>
      </c>
      <c r="B31" s="15" t="s">
        <v>54</v>
      </c>
      <c r="C31" s="8">
        <v>44838</v>
      </c>
      <c r="D31" s="40">
        <v>45454</v>
      </c>
      <c r="E31" s="62">
        <f t="shared" si="0"/>
        <v>250</v>
      </c>
      <c r="F31" s="63">
        <v>0</v>
      </c>
      <c r="G31" s="1"/>
    </row>
    <row r="32" spans="1:17" ht="15.75" customHeight="1" x14ac:dyDescent="0.25">
      <c r="A32" s="48" t="s">
        <v>55</v>
      </c>
      <c r="B32" s="49">
        <v>37383</v>
      </c>
      <c r="C32" s="45"/>
      <c r="D32" s="45">
        <v>45820</v>
      </c>
      <c r="E32" s="62">
        <f t="shared" si="0"/>
        <v>187.5</v>
      </c>
      <c r="F32" s="63">
        <v>0.25</v>
      </c>
      <c r="G32" s="1" t="s">
        <v>56</v>
      </c>
    </row>
    <row r="33" spans="1:7" ht="15.75" customHeight="1" x14ac:dyDescent="0.25">
      <c r="A33" s="9" t="s">
        <v>57</v>
      </c>
      <c r="B33" s="13">
        <v>34064</v>
      </c>
      <c r="C33" s="8"/>
      <c r="D33" s="40">
        <v>46043</v>
      </c>
      <c r="E33" s="62">
        <f t="shared" si="0"/>
        <v>0</v>
      </c>
      <c r="F33" s="63">
        <v>1</v>
      </c>
      <c r="G33" s="1" t="s">
        <v>58</v>
      </c>
    </row>
    <row r="34" spans="1:7" ht="15.75" customHeight="1" x14ac:dyDescent="0.25">
      <c r="A34" s="9" t="s">
        <v>59</v>
      </c>
      <c r="B34" s="13"/>
      <c r="C34" s="8"/>
      <c r="D34" s="40"/>
      <c r="E34" s="62">
        <f t="shared" si="0"/>
        <v>187.5</v>
      </c>
      <c r="F34" s="63">
        <v>0.25</v>
      </c>
      <c r="G34" s="2" t="s">
        <v>56</v>
      </c>
    </row>
    <row r="35" spans="1:7" ht="15.75" customHeight="1" x14ac:dyDescent="0.25">
      <c r="A35" s="9" t="s">
        <v>60</v>
      </c>
      <c r="B35" s="13"/>
      <c r="C35" s="8"/>
      <c r="D35" s="40"/>
      <c r="E35" s="62">
        <f t="shared" si="0"/>
        <v>125</v>
      </c>
      <c r="F35" s="63">
        <v>0.5</v>
      </c>
      <c r="G35" s="1" t="s">
        <v>82</v>
      </c>
    </row>
    <row r="36" spans="1:7" ht="15.75" customHeight="1" x14ac:dyDescent="0.25">
      <c r="A36" s="9" t="s">
        <v>61</v>
      </c>
      <c r="B36" s="13">
        <v>32573</v>
      </c>
      <c r="C36" s="8">
        <v>45483</v>
      </c>
      <c r="D36" s="40">
        <v>45530</v>
      </c>
      <c r="E36" s="62">
        <f t="shared" si="0"/>
        <v>187.5</v>
      </c>
      <c r="F36" s="63">
        <v>0.25</v>
      </c>
      <c r="G36" s="1" t="s">
        <v>62</v>
      </c>
    </row>
    <row r="37" spans="1:7" ht="15.75" customHeight="1" x14ac:dyDescent="0.25">
      <c r="A37" s="9" t="s">
        <v>63</v>
      </c>
      <c r="B37" s="64"/>
      <c r="C37" s="1"/>
      <c r="D37" s="40">
        <v>46181</v>
      </c>
      <c r="E37" s="62">
        <f t="shared" si="0"/>
        <v>0</v>
      </c>
      <c r="F37" s="63">
        <v>1</v>
      </c>
      <c r="G37" s="20" t="s">
        <v>64</v>
      </c>
    </row>
    <row r="38" spans="1:7" ht="15.75" customHeight="1" x14ac:dyDescent="0.25">
      <c r="A38" s="9" t="s">
        <v>65</v>
      </c>
      <c r="B38" s="13"/>
      <c r="C38" s="8"/>
      <c r="D38" s="40"/>
      <c r="E38" s="62">
        <f t="shared" si="0"/>
        <v>0</v>
      </c>
      <c r="F38" s="63">
        <v>1</v>
      </c>
      <c r="G38" s="1" t="s">
        <v>66</v>
      </c>
    </row>
    <row r="39" spans="1:7" ht="15.75" customHeight="1" x14ac:dyDescent="0.25">
      <c r="A39" s="3" t="s">
        <v>67</v>
      </c>
      <c r="B39" s="17"/>
      <c r="C39" s="65"/>
      <c r="D39" s="66"/>
      <c r="E39" s="62">
        <f t="shared" si="0"/>
        <v>250</v>
      </c>
      <c r="F39" s="63">
        <v>0</v>
      </c>
      <c r="G39" s="1"/>
    </row>
    <row r="40" spans="1:7" ht="15.75" customHeight="1" x14ac:dyDescent="0.25">
      <c r="A40" s="3" t="s">
        <v>68</v>
      </c>
      <c r="B40" s="17"/>
      <c r="C40" s="65"/>
      <c r="D40" s="66"/>
      <c r="E40" s="62">
        <f t="shared" si="0"/>
        <v>250</v>
      </c>
      <c r="F40" s="63">
        <v>0</v>
      </c>
      <c r="G40" s="1"/>
    </row>
    <row r="41" spans="1:7" ht="15.75" customHeight="1" x14ac:dyDescent="0.25">
      <c r="A41" s="9" t="s">
        <v>69</v>
      </c>
      <c r="B41" s="13">
        <v>34083</v>
      </c>
      <c r="C41" s="8">
        <v>44927</v>
      </c>
      <c r="D41" s="40">
        <v>45078</v>
      </c>
      <c r="E41" s="62">
        <f t="shared" si="0"/>
        <v>250</v>
      </c>
      <c r="F41" s="63">
        <v>0</v>
      </c>
      <c r="G41" s="1"/>
    </row>
    <row r="42" spans="1:7" ht="15.75" customHeight="1" x14ac:dyDescent="0.25">
      <c r="A42" s="69" t="s">
        <v>70</v>
      </c>
      <c r="B42" s="69"/>
      <c r="C42" s="2"/>
      <c r="D42" s="40">
        <v>46181</v>
      </c>
      <c r="E42" s="62">
        <f t="shared" si="0"/>
        <v>0</v>
      </c>
      <c r="F42" s="63">
        <v>1</v>
      </c>
      <c r="G42" s="1" t="s">
        <v>82</v>
      </c>
    </row>
    <row r="43" spans="1:7" ht="15.75" customHeight="1" x14ac:dyDescent="0.25">
      <c r="A43" s="9" t="s">
        <v>71</v>
      </c>
      <c r="B43" s="13">
        <v>33127</v>
      </c>
      <c r="C43" s="8">
        <v>45684</v>
      </c>
      <c r="D43" s="40">
        <v>45719</v>
      </c>
      <c r="E43" s="62">
        <f t="shared" si="0"/>
        <v>250</v>
      </c>
      <c r="F43" s="63">
        <v>0</v>
      </c>
      <c r="G43" s="1"/>
    </row>
    <row r="44" spans="1:7" ht="15.75" customHeight="1" x14ac:dyDescent="0.25">
      <c r="A44" s="9" t="s">
        <v>72</v>
      </c>
      <c r="B44" s="13">
        <v>27693</v>
      </c>
      <c r="C44" s="8">
        <v>45170</v>
      </c>
      <c r="D44" s="40">
        <v>45208</v>
      </c>
      <c r="E44" s="62">
        <f t="shared" si="0"/>
        <v>250</v>
      </c>
      <c r="F44" s="63">
        <v>0</v>
      </c>
      <c r="G44" s="1"/>
    </row>
    <row r="45" spans="1:7" ht="15.75" customHeight="1" x14ac:dyDescent="0.25">
      <c r="A45" s="9" t="s">
        <v>73</v>
      </c>
      <c r="B45" s="13"/>
      <c r="C45" s="8"/>
      <c r="D45" s="40"/>
      <c r="E45" s="62">
        <f t="shared" si="0"/>
        <v>250</v>
      </c>
      <c r="F45" s="63">
        <v>0</v>
      </c>
      <c r="G45" s="1"/>
    </row>
    <row r="46" spans="1:7" ht="15.75" customHeight="1" x14ac:dyDescent="0.25">
      <c r="A46" s="9" t="s">
        <v>74</v>
      </c>
      <c r="B46" s="13"/>
      <c r="C46" s="8"/>
      <c r="D46" s="40"/>
      <c r="E46" s="62">
        <f t="shared" si="0"/>
        <v>0</v>
      </c>
      <c r="F46" s="63">
        <v>1</v>
      </c>
      <c r="G46" s="1" t="s">
        <v>75</v>
      </c>
    </row>
    <row r="47" spans="1:7" ht="15.75" customHeight="1" x14ac:dyDescent="0.25">
      <c r="A47" s="9" t="s">
        <v>76</v>
      </c>
      <c r="B47" s="1"/>
      <c r="C47" s="1"/>
      <c r="D47" s="40">
        <v>46181</v>
      </c>
      <c r="E47" s="62">
        <f t="shared" si="0"/>
        <v>0</v>
      </c>
      <c r="F47" s="63">
        <v>1</v>
      </c>
      <c r="G47" s="1" t="s">
        <v>77</v>
      </c>
    </row>
    <row r="48" spans="1:7" ht="15.75" customHeight="1" x14ac:dyDescent="0.25">
      <c r="A48" s="7" t="s">
        <v>78</v>
      </c>
      <c r="B48" s="14">
        <v>29930</v>
      </c>
      <c r="C48" s="8"/>
      <c r="D48" s="40">
        <v>46056</v>
      </c>
      <c r="E48" s="62">
        <f t="shared" ref="E48:E78" si="1">250 - (250 *F48)</f>
        <v>250</v>
      </c>
      <c r="F48" s="63">
        <v>0</v>
      </c>
      <c r="G48" s="1"/>
    </row>
    <row r="49" spans="1:7" ht="15.75" customHeight="1" x14ac:dyDescent="0.25">
      <c r="A49" s="7" t="s">
        <v>79</v>
      </c>
      <c r="B49" s="14"/>
      <c r="C49" s="8"/>
      <c r="D49" s="40"/>
      <c r="E49" s="62">
        <f t="shared" si="1"/>
        <v>250</v>
      </c>
      <c r="F49" s="63">
        <v>0</v>
      </c>
      <c r="G49" s="1"/>
    </row>
    <row r="50" spans="1:7" ht="15.75" customHeight="1" x14ac:dyDescent="0.25">
      <c r="A50" s="9" t="s">
        <v>80</v>
      </c>
      <c r="B50" s="13">
        <v>37361</v>
      </c>
      <c r="C50" s="8"/>
      <c r="D50" s="40">
        <v>45964</v>
      </c>
      <c r="E50" s="62">
        <f t="shared" si="1"/>
        <v>0</v>
      </c>
      <c r="F50" s="63">
        <v>1</v>
      </c>
      <c r="G50" s="1" t="s">
        <v>182</v>
      </c>
    </row>
    <row r="51" spans="1:7" ht="15.75" customHeight="1" x14ac:dyDescent="0.25">
      <c r="A51" s="9" t="s">
        <v>81</v>
      </c>
      <c r="B51" s="13">
        <v>33088</v>
      </c>
      <c r="C51" s="8"/>
      <c r="D51" s="40"/>
      <c r="E51" s="62">
        <f t="shared" si="1"/>
        <v>125</v>
      </c>
      <c r="F51" s="63">
        <v>0.5</v>
      </c>
      <c r="G51" s="1" t="s">
        <v>82</v>
      </c>
    </row>
    <row r="52" spans="1:7" ht="15.75" customHeight="1" x14ac:dyDescent="0.25">
      <c r="A52" s="11" t="s">
        <v>83</v>
      </c>
      <c r="B52" s="16">
        <v>36697</v>
      </c>
      <c r="C52" s="8"/>
      <c r="D52" s="40">
        <v>46045</v>
      </c>
      <c r="E52" s="62">
        <f t="shared" si="1"/>
        <v>250</v>
      </c>
      <c r="F52" s="63">
        <v>0</v>
      </c>
      <c r="G52" s="1"/>
    </row>
    <row r="53" spans="1:7" ht="15.75" customHeight="1" x14ac:dyDescent="0.25">
      <c r="A53" s="11" t="s">
        <v>84</v>
      </c>
      <c r="B53" s="16">
        <v>32398</v>
      </c>
      <c r="C53" s="8">
        <v>45670</v>
      </c>
      <c r="D53" s="40">
        <v>45719</v>
      </c>
      <c r="E53" s="62">
        <f t="shared" si="1"/>
        <v>0</v>
      </c>
      <c r="F53" s="63">
        <v>1</v>
      </c>
      <c r="G53" s="1" t="s">
        <v>85</v>
      </c>
    </row>
    <row r="54" spans="1:7" ht="15.75" customHeight="1" x14ac:dyDescent="0.25">
      <c r="A54" s="9" t="s">
        <v>86</v>
      </c>
      <c r="B54" s="13">
        <v>38663</v>
      </c>
      <c r="C54" s="8"/>
      <c r="D54" s="40">
        <v>45798</v>
      </c>
      <c r="E54" s="62">
        <f t="shared" si="1"/>
        <v>125</v>
      </c>
      <c r="F54" s="63">
        <v>0.5</v>
      </c>
      <c r="G54" s="20" t="s">
        <v>87</v>
      </c>
    </row>
    <row r="55" spans="1:7" ht="15.75" customHeight="1" x14ac:dyDescent="0.25">
      <c r="A55" s="11" t="s">
        <v>88</v>
      </c>
      <c r="B55" s="16"/>
      <c r="C55" s="8"/>
      <c r="D55" s="40">
        <v>46258</v>
      </c>
      <c r="E55" s="62">
        <v>68.180000000000007</v>
      </c>
      <c r="F55" s="63">
        <v>0</v>
      </c>
      <c r="G55" s="1"/>
    </row>
    <row r="56" spans="1:7" ht="15.75" customHeight="1" x14ac:dyDescent="0.25">
      <c r="A56" s="9" t="s">
        <v>89</v>
      </c>
      <c r="B56" s="13">
        <v>38176</v>
      </c>
      <c r="C56" s="8">
        <v>45756</v>
      </c>
      <c r="D56" s="40">
        <v>45761</v>
      </c>
      <c r="E56" s="62">
        <f t="shared" si="1"/>
        <v>187.5</v>
      </c>
      <c r="F56" s="63">
        <v>0.25</v>
      </c>
      <c r="G56" s="1" t="s">
        <v>56</v>
      </c>
    </row>
    <row r="57" spans="1:7" ht="15.75" customHeight="1" x14ac:dyDescent="0.25">
      <c r="A57" s="9" t="s">
        <v>90</v>
      </c>
      <c r="B57" s="13"/>
      <c r="C57" s="8"/>
      <c r="D57" s="40">
        <v>45966</v>
      </c>
      <c r="E57" s="62">
        <f t="shared" si="1"/>
        <v>0</v>
      </c>
      <c r="F57" s="63">
        <v>1</v>
      </c>
      <c r="G57" s="1" t="s">
        <v>183</v>
      </c>
    </row>
    <row r="58" spans="1:7" ht="15.75" customHeight="1" x14ac:dyDescent="0.25">
      <c r="A58" s="9" t="s">
        <v>91</v>
      </c>
      <c r="B58" s="13">
        <v>36141</v>
      </c>
      <c r="C58" s="8"/>
      <c r="D58" s="40">
        <v>45929</v>
      </c>
      <c r="E58" s="62">
        <f t="shared" si="1"/>
        <v>250</v>
      </c>
      <c r="F58" s="63">
        <v>0</v>
      </c>
      <c r="G58" s="1"/>
    </row>
    <row r="59" spans="1:7" ht="15.75" customHeight="1" x14ac:dyDescent="0.25">
      <c r="A59" s="9" t="s">
        <v>92</v>
      </c>
      <c r="B59" s="17">
        <v>23787</v>
      </c>
      <c r="C59" s="8">
        <v>44044</v>
      </c>
      <c r="D59" s="40">
        <v>45820</v>
      </c>
      <c r="E59" s="62">
        <f t="shared" si="1"/>
        <v>250</v>
      </c>
      <c r="F59" s="63">
        <v>0</v>
      </c>
      <c r="G59" s="1"/>
    </row>
    <row r="60" spans="1:7" ht="15.75" customHeight="1" x14ac:dyDescent="0.25">
      <c r="A60" s="9" t="s">
        <v>93</v>
      </c>
      <c r="B60" s="13">
        <v>33969</v>
      </c>
      <c r="C60" s="8"/>
      <c r="D60" s="40">
        <v>45901</v>
      </c>
      <c r="E60" s="62">
        <f t="shared" si="1"/>
        <v>250</v>
      </c>
      <c r="F60" s="63">
        <v>0</v>
      </c>
      <c r="G60" s="1"/>
    </row>
    <row r="61" spans="1:7" ht="15.75" customHeight="1" x14ac:dyDescent="0.25">
      <c r="A61" s="9" t="s">
        <v>94</v>
      </c>
      <c r="B61" s="13"/>
      <c r="C61" s="8"/>
      <c r="D61" s="40">
        <v>46181</v>
      </c>
      <c r="E61" s="62">
        <f t="shared" si="1"/>
        <v>0</v>
      </c>
      <c r="F61" s="63">
        <v>1</v>
      </c>
      <c r="G61" s="1" t="s">
        <v>95</v>
      </c>
    </row>
    <row r="62" spans="1:7" ht="15.75" customHeight="1" x14ac:dyDescent="0.25">
      <c r="A62" s="9" t="s">
        <v>96</v>
      </c>
      <c r="B62" s="13"/>
      <c r="C62" s="8"/>
      <c r="D62" s="40"/>
      <c r="E62" s="62">
        <f t="shared" si="1"/>
        <v>0</v>
      </c>
      <c r="F62" s="63">
        <v>1</v>
      </c>
      <c r="G62" s="20" t="s">
        <v>48</v>
      </c>
    </row>
    <row r="63" spans="1:7" ht="15.75" customHeight="1" x14ac:dyDescent="0.25">
      <c r="A63" s="9" t="s">
        <v>97</v>
      </c>
      <c r="B63" s="13">
        <v>30394</v>
      </c>
      <c r="C63" s="8"/>
      <c r="D63" s="40">
        <v>46045</v>
      </c>
      <c r="E63" s="62">
        <f t="shared" si="1"/>
        <v>125</v>
      </c>
      <c r="F63" s="63">
        <v>0.5</v>
      </c>
      <c r="G63" s="1" t="s">
        <v>82</v>
      </c>
    </row>
    <row r="64" spans="1:7" ht="15.75" customHeight="1" x14ac:dyDescent="0.25">
      <c r="A64" s="9" t="s">
        <v>98</v>
      </c>
      <c r="B64" s="13">
        <v>35833</v>
      </c>
      <c r="C64" s="8">
        <v>45495</v>
      </c>
      <c r="D64" s="40">
        <v>45530</v>
      </c>
      <c r="E64" s="62">
        <f t="shared" si="1"/>
        <v>187.5</v>
      </c>
      <c r="F64" s="63">
        <v>0.25</v>
      </c>
      <c r="G64" s="1" t="s">
        <v>62</v>
      </c>
    </row>
    <row r="65" spans="1:7" ht="15.75" customHeight="1" x14ac:dyDescent="0.25">
      <c r="A65" s="9" t="s">
        <v>99</v>
      </c>
      <c r="B65" s="13"/>
      <c r="C65" s="8"/>
      <c r="D65" s="40">
        <v>46164</v>
      </c>
      <c r="E65" s="62">
        <f t="shared" si="1"/>
        <v>250</v>
      </c>
      <c r="F65" s="63">
        <v>0</v>
      </c>
      <c r="G65" s="1" t="s">
        <v>186</v>
      </c>
    </row>
    <row r="66" spans="1:7" ht="15.75" customHeight="1" x14ac:dyDescent="0.25">
      <c r="A66" s="9" t="s">
        <v>100</v>
      </c>
      <c r="B66" s="13">
        <v>36611</v>
      </c>
      <c r="C66" s="8">
        <v>45733</v>
      </c>
      <c r="D66" s="40">
        <v>45748</v>
      </c>
      <c r="E66" s="62">
        <f t="shared" si="1"/>
        <v>250</v>
      </c>
      <c r="F66" s="63">
        <v>0</v>
      </c>
      <c r="G66" s="1"/>
    </row>
    <row r="67" spans="1:7" ht="15.75" customHeight="1" x14ac:dyDescent="0.25">
      <c r="A67" s="9" t="s">
        <v>101</v>
      </c>
      <c r="B67" s="13">
        <v>32548</v>
      </c>
      <c r="C67" s="8"/>
      <c r="D67" s="40">
        <v>46052</v>
      </c>
      <c r="E67" s="62">
        <f t="shared" si="1"/>
        <v>250</v>
      </c>
      <c r="F67" s="63">
        <v>0</v>
      </c>
      <c r="G67" s="1"/>
    </row>
    <row r="68" spans="1:7" ht="15.75" customHeight="1" x14ac:dyDescent="0.25">
      <c r="A68" s="9" t="s">
        <v>102</v>
      </c>
      <c r="B68" s="13"/>
      <c r="C68" s="8"/>
      <c r="D68" s="40"/>
      <c r="E68" s="62">
        <f t="shared" si="1"/>
        <v>125</v>
      </c>
      <c r="F68" s="63">
        <v>0.5</v>
      </c>
      <c r="G68" s="1" t="s">
        <v>103</v>
      </c>
    </row>
    <row r="69" spans="1:7" ht="15.75" customHeight="1" x14ac:dyDescent="0.25">
      <c r="A69" s="9" t="s">
        <v>104</v>
      </c>
      <c r="B69" s="13">
        <v>35665</v>
      </c>
      <c r="C69" s="8"/>
      <c r="D69" s="40">
        <v>46037</v>
      </c>
      <c r="E69" s="62">
        <f t="shared" si="1"/>
        <v>0</v>
      </c>
      <c r="F69" s="63">
        <v>1</v>
      </c>
      <c r="G69" s="20" t="s">
        <v>105</v>
      </c>
    </row>
    <row r="70" spans="1:7" ht="15.75" customHeight="1" x14ac:dyDescent="0.25">
      <c r="A70" s="9" t="s">
        <v>106</v>
      </c>
      <c r="B70" s="13"/>
      <c r="C70" s="8"/>
      <c r="D70" s="40">
        <v>46171</v>
      </c>
      <c r="E70" s="62">
        <f t="shared" si="1"/>
        <v>0</v>
      </c>
      <c r="F70" s="63">
        <v>1</v>
      </c>
      <c r="G70" s="1" t="s">
        <v>184</v>
      </c>
    </row>
    <row r="71" spans="1:7" ht="15.75" customHeight="1" x14ac:dyDescent="0.25">
      <c r="A71" s="9" t="s">
        <v>107</v>
      </c>
      <c r="B71" s="13"/>
      <c r="C71" s="8"/>
      <c r="D71" s="40">
        <v>46181</v>
      </c>
      <c r="E71" s="62">
        <f t="shared" si="1"/>
        <v>62.5</v>
      </c>
      <c r="F71" s="63">
        <v>0.75</v>
      </c>
      <c r="G71" s="1" t="s">
        <v>185</v>
      </c>
    </row>
    <row r="72" spans="1:7" ht="15.75" customHeight="1" x14ac:dyDescent="0.25">
      <c r="A72" s="9" t="s">
        <v>108</v>
      </c>
      <c r="B72" s="13">
        <v>30857</v>
      </c>
      <c r="C72" s="8"/>
      <c r="D72" s="40">
        <v>46043</v>
      </c>
      <c r="E72" s="62">
        <f t="shared" si="1"/>
        <v>125</v>
      </c>
      <c r="F72" s="63">
        <v>0.5</v>
      </c>
      <c r="G72" s="20" t="s">
        <v>82</v>
      </c>
    </row>
    <row r="73" spans="1:7" ht="15.75" customHeight="1" x14ac:dyDescent="0.25">
      <c r="A73" s="9" t="s">
        <v>109</v>
      </c>
      <c r="B73" s="13"/>
      <c r="C73" s="8"/>
      <c r="D73" s="40"/>
      <c r="E73" s="62">
        <f t="shared" si="1"/>
        <v>125</v>
      </c>
      <c r="F73" s="63">
        <v>0.5</v>
      </c>
      <c r="G73" s="1" t="s">
        <v>82</v>
      </c>
    </row>
    <row r="74" spans="1:7" ht="15.75" customHeight="1" x14ac:dyDescent="0.25">
      <c r="A74" s="9" t="s">
        <v>110</v>
      </c>
      <c r="B74" s="13">
        <v>35717</v>
      </c>
      <c r="C74" s="12"/>
      <c r="D74" s="40">
        <v>45859</v>
      </c>
      <c r="E74" s="62">
        <f t="shared" si="1"/>
        <v>125</v>
      </c>
      <c r="F74" s="63">
        <v>0.5</v>
      </c>
      <c r="G74" s="1" t="s">
        <v>82</v>
      </c>
    </row>
    <row r="75" spans="1:7" ht="15.75" customHeight="1" x14ac:dyDescent="0.25">
      <c r="A75" s="9" t="s">
        <v>111</v>
      </c>
      <c r="B75" s="13">
        <v>35679</v>
      </c>
      <c r="C75" s="12"/>
      <c r="D75" s="40"/>
      <c r="E75" s="62">
        <f t="shared" si="1"/>
        <v>0</v>
      </c>
      <c r="F75" s="63">
        <v>1</v>
      </c>
      <c r="G75" s="1" t="s">
        <v>112</v>
      </c>
    </row>
    <row r="76" spans="1:7" ht="15.75" customHeight="1" x14ac:dyDescent="0.25">
      <c r="A76" s="9" t="s">
        <v>113</v>
      </c>
      <c r="B76" s="13"/>
      <c r="C76" s="12"/>
      <c r="D76" s="40">
        <v>46181</v>
      </c>
      <c r="E76" s="62">
        <f t="shared" si="1"/>
        <v>187.5</v>
      </c>
      <c r="F76" s="63">
        <v>0.25</v>
      </c>
      <c r="G76" s="1" t="s">
        <v>62</v>
      </c>
    </row>
    <row r="77" spans="1:7" ht="15.75" customHeight="1" x14ac:dyDescent="0.25">
      <c r="A77" s="9" t="s">
        <v>114</v>
      </c>
      <c r="B77" s="13">
        <v>34958</v>
      </c>
      <c r="C77" s="8">
        <v>45684</v>
      </c>
      <c r="D77" s="40">
        <v>45810</v>
      </c>
      <c r="E77" s="62">
        <f t="shared" si="1"/>
        <v>250</v>
      </c>
      <c r="F77" s="63">
        <v>0</v>
      </c>
      <c r="G77" s="1"/>
    </row>
    <row r="78" spans="1:7" ht="15.75" customHeight="1" x14ac:dyDescent="0.25">
      <c r="A78" s="9" t="s">
        <v>115</v>
      </c>
      <c r="B78" s="13"/>
      <c r="C78" s="8"/>
      <c r="D78" s="40"/>
      <c r="E78" s="62">
        <f t="shared" si="1"/>
        <v>0</v>
      </c>
      <c r="F78" s="63">
        <v>1</v>
      </c>
      <c r="G78" s="1" t="s">
        <v>116</v>
      </c>
    </row>
    <row r="79" spans="1:7" ht="15.75" customHeight="1" x14ac:dyDescent="0.25">
      <c r="A79" s="9" t="s">
        <v>117</v>
      </c>
      <c r="B79" s="13"/>
      <c r="C79" s="8"/>
      <c r="D79" s="40"/>
      <c r="E79" s="62">
        <f t="shared" ref="E79:E110" si="2">250 - (250 *F79)</f>
        <v>0</v>
      </c>
      <c r="F79" s="63">
        <v>1</v>
      </c>
      <c r="G79" s="1" t="s">
        <v>118</v>
      </c>
    </row>
    <row r="80" spans="1:7" ht="15.75" customHeight="1" x14ac:dyDescent="0.25">
      <c r="A80" s="9" t="s">
        <v>119</v>
      </c>
      <c r="B80" s="13"/>
      <c r="C80" s="8"/>
      <c r="D80" s="40"/>
      <c r="E80" s="62">
        <f t="shared" si="2"/>
        <v>0</v>
      </c>
      <c r="F80" s="63">
        <v>1</v>
      </c>
      <c r="G80" s="1"/>
    </row>
    <row r="81" spans="1:7" ht="15.75" customHeight="1" x14ac:dyDescent="0.25">
      <c r="A81" s="9" t="s">
        <v>120</v>
      </c>
      <c r="B81" s="13"/>
      <c r="C81" s="8"/>
      <c r="D81" s="40">
        <v>46171</v>
      </c>
      <c r="E81" s="62">
        <f t="shared" si="2"/>
        <v>125</v>
      </c>
      <c r="F81" s="63">
        <v>0.5</v>
      </c>
      <c r="G81" s="20" t="s">
        <v>82</v>
      </c>
    </row>
    <row r="82" spans="1:7" ht="15.75" customHeight="1" x14ac:dyDescent="0.25">
      <c r="A82" s="9" t="s">
        <v>121</v>
      </c>
      <c r="B82" s="13"/>
      <c r="C82" s="8"/>
      <c r="D82" s="40"/>
      <c r="E82" s="62">
        <f t="shared" si="2"/>
        <v>250</v>
      </c>
      <c r="F82" s="63">
        <v>0</v>
      </c>
      <c r="G82" s="1"/>
    </row>
    <row r="83" spans="1:7" ht="15.75" customHeight="1" x14ac:dyDescent="0.25">
      <c r="A83" s="9" t="s">
        <v>122</v>
      </c>
      <c r="B83" s="13">
        <v>34094</v>
      </c>
      <c r="C83" s="8"/>
      <c r="D83" s="40">
        <v>46037</v>
      </c>
      <c r="E83" s="62">
        <f t="shared" si="2"/>
        <v>0</v>
      </c>
      <c r="F83" s="63">
        <v>1</v>
      </c>
      <c r="G83" s="1" t="s">
        <v>123</v>
      </c>
    </row>
    <row r="84" spans="1:7" ht="15.75" customHeight="1" x14ac:dyDescent="0.25">
      <c r="A84" s="9" t="s">
        <v>124</v>
      </c>
      <c r="B84" s="13"/>
      <c r="C84" s="8"/>
      <c r="D84" s="40">
        <v>45992</v>
      </c>
      <c r="E84" s="62">
        <f t="shared" si="2"/>
        <v>250</v>
      </c>
      <c r="F84" s="63">
        <v>0</v>
      </c>
      <c r="G84" s="1"/>
    </row>
    <row r="85" spans="1:7" ht="15.75" customHeight="1" x14ac:dyDescent="0.25">
      <c r="A85" s="9" t="s">
        <v>125</v>
      </c>
      <c r="B85" s="13">
        <v>29892</v>
      </c>
      <c r="C85" s="8"/>
      <c r="D85" s="40">
        <v>45862</v>
      </c>
      <c r="E85" s="62">
        <f t="shared" si="2"/>
        <v>250</v>
      </c>
      <c r="F85" s="63">
        <v>0</v>
      </c>
      <c r="G85" s="1"/>
    </row>
    <row r="86" spans="1:7" ht="15.75" customHeight="1" x14ac:dyDescent="0.25">
      <c r="A86" s="9" t="s">
        <v>126</v>
      </c>
      <c r="B86" s="13">
        <v>36728</v>
      </c>
      <c r="C86" s="8">
        <v>44805</v>
      </c>
      <c r="D86" s="40">
        <v>45162</v>
      </c>
      <c r="E86" s="62">
        <f t="shared" si="2"/>
        <v>0</v>
      </c>
      <c r="F86" s="63">
        <v>1</v>
      </c>
      <c r="G86" s="1" t="s">
        <v>127</v>
      </c>
    </row>
    <row r="87" spans="1:7" ht="15.75" customHeight="1" x14ac:dyDescent="0.25">
      <c r="A87" s="9" t="s">
        <v>128</v>
      </c>
      <c r="B87" s="13"/>
      <c r="C87" s="8"/>
      <c r="D87" s="40"/>
      <c r="E87" s="62">
        <f t="shared" si="2"/>
        <v>0</v>
      </c>
      <c r="F87" s="63">
        <v>1</v>
      </c>
      <c r="G87" s="1" t="s">
        <v>129</v>
      </c>
    </row>
    <row r="88" spans="1:7" ht="15.75" customHeight="1" x14ac:dyDescent="0.25">
      <c r="A88" s="9" t="s">
        <v>130</v>
      </c>
      <c r="B88" s="13"/>
      <c r="C88" s="10"/>
      <c r="D88" s="40"/>
      <c r="E88" s="62">
        <f t="shared" si="2"/>
        <v>0</v>
      </c>
      <c r="F88" s="63">
        <v>1</v>
      </c>
      <c r="G88" s="1"/>
    </row>
    <row r="89" spans="1:7" ht="15.75" customHeight="1" x14ac:dyDescent="0.25">
      <c r="A89" s="9" t="s">
        <v>131</v>
      </c>
      <c r="B89" s="13">
        <v>32151</v>
      </c>
      <c r="C89" s="10">
        <v>44228</v>
      </c>
      <c r="D89" s="40">
        <v>45862</v>
      </c>
      <c r="E89" s="62">
        <f t="shared" si="2"/>
        <v>250</v>
      </c>
      <c r="F89" s="63">
        <v>0</v>
      </c>
      <c r="G89" s="1"/>
    </row>
    <row r="90" spans="1:7" ht="15.75" customHeight="1" x14ac:dyDescent="0.25">
      <c r="A90" s="9" t="s">
        <v>132</v>
      </c>
      <c r="B90" s="13"/>
      <c r="C90" s="10"/>
      <c r="D90" s="40"/>
      <c r="E90" s="62">
        <f t="shared" si="2"/>
        <v>62.5</v>
      </c>
      <c r="F90" s="63">
        <v>0.75</v>
      </c>
      <c r="G90" s="1" t="s">
        <v>133</v>
      </c>
    </row>
    <row r="91" spans="1:7" ht="15.75" customHeight="1" x14ac:dyDescent="0.25">
      <c r="A91" s="9" t="s">
        <v>134</v>
      </c>
      <c r="B91" s="13">
        <v>34187</v>
      </c>
      <c r="C91" s="10"/>
      <c r="D91" s="40">
        <v>45982</v>
      </c>
      <c r="E91" s="62">
        <f t="shared" si="2"/>
        <v>125</v>
      </c>
      <c r="F91" s="63">
        <v>0.5</v>
      </c>
      <c r="G91" s="20" t="s">
        <v>135</v>
      </c>
    </row>
    <row r="92" spans="1:7" ht="15.75" customHeight="1" x14ac:dyDescent="0.25">
      <c r="A92" s="9" t="s">
        <v>136</v>
      </c>
      <c r="B92" s="13">
        <v>26896</v>
      </c>
      <c r="C92" s="8">
        <v>44774</v>
      </c>
      <c r="D92" s="40">
        <v>45219</v>
      </c>
      <c r="E92" s="62">
        <f t="shared" si="2"/>
        <v>187.5</v>
      </c>
      <c r="F92" s="63">
        <v>0.25</v>
      </c>
      <c r="G92" s="1" t="s">
        <v>56</v>
      </c>
    </row>
    <row r="93" spans="1:7" ht="15.75" customHeight="1" x14ac:dyDescent="0.25">
      <c r="A93" s="9" t="s">
        <v>137</v>
      </c>
      <c r="B93" s="13"/>
      <c r="C93" s="8"/>
      <c r="D93" s="40"/>
      <c r="E93" s="62">
        <f t="shared" si="2"/>
        <v>250</v>
      </c>
      <c r="F93" s="63">
        <v>0</v>
      </c>
      <c r="G93" s="1"/>
    </row>
    <row r="94" spans="1:7" ht="15.75" customHeight="1" x14ac:dyDescent="0.25">
      <c r="A94" s="57" t="s">
        <v>138</v>
      </c>
      <c r="B94" s="58">
        <v>29583</v>
      </c>
      <c r="C94" s="25">
        <v>45411</v>
      </c>
      <c r="D94" s="59">
        <v>45454</v>
      </c>
      <c r="E94" s="62">
        <f t="shared" si="2"/>
        <v>250</v>
      </c>
      <c r="F94" s="63">
        <v>0</v>
      </c>
      <c r="G94" s="1"/>
    </row>
    <row r="95" spans="1:7" ht="15.75" customHeight="1" x14ac:dyDescent="0.25">
      <c r="A95" s="11" t="s">
        <v>139</v>
      </c>
      <c r="B95" s="16"/>
      <c r="C95" s="8"/>
      <c r="D95" s="8">
        <v>46171</v>
      </c>
      <c r="E95" s="62">
        <f t="shared" si="2"/>
        <v>250</v>
      </c>
      <c r="F95" s="63">
        <v>0</v>
      </c>
      <c r="G95" s="1"/>
    </row>
    <row r="96" spans="1:7" ht="15.75" customHeight="1" x14ac:dyDescent="0.25">
      <c r="A96" s="11" t="s">
        <v>140</v>
      </c>
      <c r="B96" s="16"/>
      <c r="C96" s="8"/>
      <c r="D96" s="8"/>
      <c r="E96" s="62">
        <f t="shared" si="2"/>
        <v>250</v>
      </c>
      <c r="F96" s="63">
        <v>0</v>
      </c>
      <c r="G96" s="1"/>
    </row>
    <row r="97" spans="1:7" ht="15.75" customHeight="1" x14ac:dyDescent="0.25">
      <c r="A97" s="11" t="s">
        <v>141</v>
      </c>
      <c r="B97" s="16"/>
      <c r="C97" s="8"/>
      <c r="D97" s="8"/>
      <c r="E97" s="62">
        <f t="shared" si="2"/>
        <v>187.5</v>
      </c>
      <c r="F97" s="63">
        <v>0.25</v>
      </c>
      <c r="G97" s="20" t="s">
        <v>62</v>
      </c>
    </row>
    <row r="98" spans="1:7" ht="15.75" customHeight="1" x14ac:dyDescent="0.25">
      <c r="A98" s="11" t="s">
        <v>142</v>
      </c>
      <c r="B98" s="16"/>
      <c r="C98" s="8"/>
      <c r="D98" s="8"/>
      <c r="E98" s="62">
        <f t="shared" si="2"/>
        <v>250</v>
      </c>
      <c r="F98" s="63">
        <v>0</v>
      </c>
      <c r="G98" s="1"/>
    </row>
    <row r="99" spans="1:7" ht="15.75" customHeight="1" x14ac:dyDescent="0.25">
      <c r="A99" s="11" t="s">
        <v>143</v>
      </c>
      <c r="B99" s="16">
        <v>37321</v>
      </c>
      <c r="C99" s="8"/>
      <c r="D99" s="8">
        <v>45913</v>
      </c>
      <c r="E99" s="62">
        <f t="shared" si="2"/>
        <v>0</v>
      </c>
      <c r="F99" s="63">
        <v>1</v>
      </c>
      <c r="G99" s="1" t="s">
        <v>144</v>
      </c>
    </row>
    <row r="100" spans="1:7" ht="15.75" customHeight="1" x14ac:dyDescent="0.25">
      <c r="A100" s="26" t="s">
        <v>145</v>
      </c>
      <c r="B100" s="27">
        <v>33822</v>
      </c>
      <c r="C100" s="8"/>
      <c r="D100" s="8">
        <v>45798</v>
      </c>
      <c r="E100" s="62">
        <f t="shared" si="2"/>
        <v>250</v>
      </c>
      <c r="F100" s="63">
        <v>0</v>
      </c>
      <c r="G100" s="1"/>
    </row>
    <row r="101" spans="1:7" ht="15.75" customHeight="1" x14ac:dyDescent="0.25">
      <c r="A101" s="26" t="s">
        <v>146</v>
      </c>
      <c r="B101" s="28">
        <v>38871</v>
      </c>
      <c r="C101" s="8"/>
      <c r="D101" s="8">
        <v>45779</v>
      </c>
      <c r="E101" s="62">
        <f t="shared" si="2"/>
        <v>0</v>
      </c>
      <c r="F101" s="63">
        <v>1</v>
      </c>
      <c r="G101" s="1"/>
    </row>
    <row r="102" spans="1:7" ht="15" customHeight="1" x14ac:dyDescent="0.25">
      <c r="A102" s="26" t="s">
        <v>147</v>
      </c>
      <c r="B102" s="27">
        <v>36156</v>
      </c>
      <c r="C102" s="8"/>
      <c r="D102" s="8">
        <v>45915</v>
      </c>
      <c r="E102" s="62">
        <f t="shared" si="2"/>
        <v>250</v>
      </c>
      <c r="F102" s="63">
        <v>0</v>
      </c>
      <c r="G102" s="1"/>
    </row>
    <row r="103" spans="1:7" ht="15.75" customHeight="1" x14ac:dyDescent="0.25">
      <c r="A103" s="26" t="s">
        <v>148</v>
      </c>
      <c r="B103" s="28">
        <v>27039</v>
      </c>
      <c r="C103" s="8"/>
      <c r="D103" s="8">
        <v>45852</v>
      </c>
      <c r="E103" s="62">
        <f t="shared" si="2"/>
        <v>250</v>
      </c>
      <c r="F103" s="63">
        <v>0</v>
      </c>
      <c r="G103" s="1"/>
    </row>
    <row r="104" spans="1:7" ht="15.75" customHeight="1" x14ac:dyDescent="0.25">
      <c r="A104" s="26" t="s">
        <v>149</v>
      </c>
      <c r="B104" s="27">
        <v>32275</v>
      </c>
      <c r="C104" s="8">
        <v>45420</v>
      </c>
      <c r="D104" s="8">
        <v>45505</v>
      </c>
      <c r="E104" s="62">
        <f t="shared" si="2"/>
        <v>187.5</v>
      </c>
      <c r="F104" s="63">
        <v>0.25</v>
      </c>
      <c r="G104" s="1" t="s">
        <v>56</v>
      </c>
    </row>
    <row r="105" spans="1:7" ht="15.75" hidden="1" customHeight="1" x14ac:dyDescent="0.25">
      <c r="A105" s="11" t="s">
        <v>150</v>
      </c>
      <c r="B105" s="16"/>
      <c r="C105" s="8"/>
      <c r="D105" s="8"/>
      <c r="E105" s="62">
        <f t="shared" si="2"/>
        <v>250</v>
      </c>
      <c r="F105" s="63">
        <v>0</v>
      </c>
      <c r="G105" s="1"/>
    </row>
    <row r="106" spans="1:7" ht="15.75" customHeight="1" x14ac:dyDescent="0.25">
      <c r="A106" s="26" t="s">
        <v>151</v>
      </c>
      <c r="B106" s="27">
        <v>36920</v>
      </c>
      <c r="C106" s="8"/>
      <c r="D106" s="8">
        <v>46056</v>
      </c>
      <c r="E106" s="62">
        <f t="shared" si="2"/>
        <v>250</v>
      </c>
      <c r="F106" s="63">
        <v>0</v>
      </c>
      <c r="G106" s="1"/>
    </row>
    <row r="107" spans="1:7" ht="15.75" customHeight="1" x14ac:dyDescent="0.25">
      <c r="A107" s="26" t="s">
        <v>152</v>
      </c>
      <c r="B107" s="27">
        <v>26462</v>
      </c>
      <c r="C107" s="8"/>
      <c r="D107" s="8"/>
      <c r="E107" s="62">
        <f t="shared" si="2"/>
        <v>125</v>
      </c>
      <c r="F107" s="63">
        <v>0.5</v>
      </c>
      <c r="G107" s="1" t="s">
        <v>82</v>
      </c>
    </row>
    <row r="108" spans="1:7" ht="15.75" customHeight="1" x14ac:dyDescent="0.25">
      <c r="A108" s="26" t="s">
        <v>153</v>
      </c>
      <c r="B108" s="27">
        <v>39483</v>
      </c>
      <c r="C108" s="8"/>
      <c r="D108" s="8"/>
      <c r="E108" s="62">
        <f t="shared" si="2"/>
        <v>0</v>
      </c>
      <c r="F108" s="63">
        <v>1</v>
      </c>
      <c r="G108" s="1" t="s">
        <v>154</v>
      </c>
    </row>
    <row r="109" spans="1:7" ht="15.75" customHeight="1" x14ac:dyDescent="0.25">
      <c r="A109" s="26" t="s">
        <v>155</v>
      </c>
      <c r="B109" s="27"/>
      <c r="C109" s="8"/>
      <c r="D109" s="8">
        <v>46181</v>
      </c>
      <c r="E109" s="62">
        <f t="shared" si="2"/>
        <v>250</v>
      </c>
      <c r="F109" s="63">
        <v>0</v>
      </c>
      <c r="G109" s="1"/>
    </row>
    <row r="110" spans="1:7" ht="15.75" customHeight="1" x14ac:dyDescent="0.25">
      <c r="A110" s="26" t="s">
        <v>156</v>
      </c>
      <c r="B110" s="27"/>
      <c r="C110" s="8"/>
      <c r="D110" s="8">
        <v>46181</v>
      </c>
      <c r="E110" s="62">
        <f t="shared" si="2"/>
        <v>250</v>
      </c>
      <c r="F110" s="63">
        <v>0</v>
      </c>
      <c r="G110" s="1"/>
    </row>
    <row r="111" spans="1:7" ht="15.75" customHeight="1" x14ac:dyDescent="0.25">
      <c r="A111" s="11" t="s">
        <v>157</v>
      </c>
      <c r="B111" s="16"/>
      <c r="C111" s="8"/>
      <c r="D111" s="8">
        <v>46164</v>
      </c>
      <c r="E111" s="62">
        <f t="shared" ref="E111:E120" si="3">250 - (250 *F111)</f>
        <v>0</v>
      </c>
      <c r="F111" s="63">
        <v>1</v>
      </c>
      <c r="G111" s="1" t="s">
        <v>48</v>
      </c>
    </row>
    <row r="112" spans="1:7" ht="15.75" customHeight="1" x14ac:dyDescent="0.25">
      <c r="A112" s="11" t="s">
        <v>158</v>
      </c>
      <c r="B112" s="16">
        <v>33917</v>
      </c>
      <c r="C112" s="8"/>
      <c r="D112" s="8">
        <v>46037</v>
      </c>
      <c r="E112" s="62">
        <f t="shared" si="3"/>
        <v>0</v>
      </c>
      <c r="F112" s="63">
        <v>1</v>
      </c>
      <c r="G112" s="20" t="s">
        <v>48</v>
      </c>
    </row>
    <row r="113" spans="1:7" ht="15.75" customHeight="1" x14ac:dyDescent="0.25">
      <c r="A113" s="11" t="s">
        <v>159</v>
      </c>
      <c r="B113" s="16">
        <v>39498</v>
      </c>
      <c r="C113" s="8"/>
      <c r="D113" s="8">
        <v>45825</v>
      </c>
      <c r="E113" s="62">
        <f t="shared" si="3"/>
        <v>0</v>
      </c>
      <c r="F113" s="63">
        <v>1</v>
      </c>
      <c r="G113" s="20" t="s">
        <v>160</v>
      </c>
    </row>
    <row r="114" spans="1:7" ht="15.75" customHeight="1" x14ac:dyDescent="0.25">
      <c r="A114" s="11" t="s">
        <v>161</v>
      </c>
      <c r="B114" s="16"/>
      <c r="C114" s="8"/>
      <c r="D114" s="8"/>
      <c r="E114" s="62">
        <f t="shared" si="3"/>
        <v>0</v>
      </c>
      <c r="F114" s="63">
        <v>1</v>
      </c>
      <c r="G114" s="1" t="s">
        <v>162</v>
      </c>
    </row>
    <row r="115" spans="1:7" ht="15.75" customHeight="1" x14ac:dyDescent="0.25">
      <c r="A115" s="11" t="s">
        <v>163</v>
      </c>
      <c r="B115" s="16"/>
      <c r="C115" s="8"/>
      <c r="D115" s="8"/>
      <c r="E115" s="62">
        <f t="shared" si="3"/>
        <v>0</v>
      </c>
      <c r="F115" s="63">
        <v>1</v>
      </c>
      <c r="G115" s="1" t="s">
        <v>164</v>
      </c>
    </row>
    <row r="116" spans="1:7" ht="15.75" customHeight="1" x14ac:dyDescent="0.25">
      <c r="A116" s="11" t="s">
        <v>165</v>
      </c>
      <c r="B116" s="16">
        <v>35419</v>
      </c>
      <c r="C116" s="8"/>
      <c r="D116" s="8">
        <v>46056</v>
      </c>
      <c r="E116" s="62">
        <f t="shared" si="3"/>
        <v>125</v>
      </c>
      <c r="F116" s="63">
        <v>0.5</v>
      </c>
      <c r="G116" s="1" t="s">
        <v>166</v>
      </c>
    </row>
    <row r="117" spans="1:7" ht="15.75" customHeight="1" x14ac:dyDescent="0.25">
      <c r="A117" s="11" t="s">
        <v>167</v>
      </c>
      <c r="B117" s="1"/>
      <c r="C117" s="1"/>
      <c r="D117" s="8">
        <v>46181</v>
      </c>
      <c r="E117" s="62">
        <f t="shared" si="3"/>
        <v>0</v>
      </c>
      <c r="F117" s="63">
        <v>1</v>
      </c>
      <c r="G117" s="1" t="s">
        <v>168</v>
      </c>
    </row>
    <row r="118" spans="1:7" ht="14.25" customHeight="1" x14ac:dyDescent="0.25">
      <c r="A118" s="11" t="s">
        <v>169</v>
      </c>
      <c r="B118" s="16">
        <v>32989</v>
      </c>
      <c r="C118" s="8">
        <v>44927</v>
      </c>
      <c r="D118" s="8">
        <v>45078</v>
      </c>
      <c r="E118" s="62">
        <f t="shared" si="3"/>
        <v>0</v>
      </c>
      <c r="F118" s="63">
        <v>1</v>
      </c>
      <c r="G118" s="1" t="s">
        <v>170</v>
      </c>
    </row>
    <row r="119" spans="1:7" ht="14.25" customHeight="1" x14ac:dyDescent="0.25">
      <c r="A119" s="11" t="s">
        <v>171</v>
      </c>
      <c r="B119" s="16"/>
      <c r="C119" s="8"/>
      <c r="D119" s="8"/>
      <c r="E119" s="62">
        <f t="shared" si="3"/>
        <v>187.5</v>
      </c>
      <c r="F119" s="63">
        <v>0.25</v>
      </c>
      <c r="G119" s="1" t="s">
        <v>62</v>
      </c>
    </row>
    <row r="120" spans="1:7" ht="14.25" customHeight="1" x14ac:dyDescent="0.25">
      <c r="A120" s="11" t="s">
        <v>172</v>
      </c>
      <c r="B120" s="16">
        <v>37668</v>
      </c>
      <c r="C120" s="8"/>
      <c r="D120" s="8">
        <v>46045</v>
      </c>
      <c r="E120" s="62">
        <f t="shared" si="3"/>
        <v>0</v>
      </c>
      <c r="F120" s="63">
        <v>1</v>
      </c>
      <c r="G120" s="1"/>
    </row>
    <row r="123" spans="1:7" ht="15.75" customHeight="1" x14ac:dyDescent="0.25">
      <c r="A123" s="75" t="s">
        <v>173</v>
      </c>
      <c r="B123" s="76"/>
      <c r="C123" s="77">
        <f>SUM(E18:E120)</f>
        <v>13942.18</v>
      </c>
      <c r="F123">
        <v>0</v>
      </c>
    </row>
    <row r="124" spans="1:7" x14ac:dyDescent="0.25">
      <c r="A124" s="78" t="s">
        <v>174</v>
      </c>
      <c r="B124" s="76"/>
      <c r="C124" s="79">
        <f>SUM(E18:E129)</f>
        <v>15011.18</v>
      </c>
      <c r="D124" s="67"/>
      <c r="E124" s="67"/>
      <c r="F124">
        <v>0</v>
      </c>
    </row>
    <row r="125" spans="1:7" x14ac:dyDescent="0.25">
      <c r="A125" s="80" t="s">
        <v>175</v>
      </c>
      <c r="B125" s="76"/>
      <c r="C125" s="81">
        <f>COUNTA(A18:A120) + COUNTA(L11:L20)</f>
        <v>113</v>
      </c>
      <c r="F125">
        <v>0</v>
      </c>
    </row>
    <row r="126" spans="1:7" x14ac:dyDescent="0.25">
      <c r="A126" s="80" t="s">
        <v>176</v>
      </c>
      <c r="B126" s="76"/>
      <c r="C126" s="81">
        <f>COUNTA(A18:A120)</f>
        <v>103</v>
      </c>
      <c r="F126">
        <v>0</v>
      </c>
    </row>
    <row r="128" spans="1:7" ht="22.5" customHeight="1" x14ac:dyDescent="0.25">
      <c r="A128" s="82" t="s">
        <v>177</v>
      </c>
      <c r="B128" s="83"/>
      <c r="C128" s="84">
        <v>44825</v>
      </c>
      <c r="D128" s="85"/>
      <c r="E128" s="77">
        <v>819</v>
      </c>
      <c r="F128">
        <v>0</v>
      </c>
    </row>
    <row r="129" spans="1:6" ht="21.75" customHeight="1" x14ac:dyDescent="0.25">
      <c r="A129" s="82" t="s">
        <v>178</v>
      </c>
      <c r="B129" s="86"/>
      <c r="C129" s="86"/>
      <c r="D129" s="86"/>
      <c r="E129" s="77">
        <v>250</v>
      </c>
      <c r="F129">
        <v>0</v>
      </c>
    </row>
    <row r="132" spans="1:6" x14ac:dyDescent="0.25">
      <c r="A132" s="29" t="s">
        <v>179</v>
      </c>
      <c r="B132" s="60">
        <v>59407.78</v>
      </c>
      <c r="F132">
        <v>0</v>
      </c>
    </row>
    <row r="133" spans="1:6" x14ac:dyDescent="0.25">
      <c r="A133" s="29" t="s">
        <v>180</v>
      </c>
      <c r="B133" s="60" t="e">
        <f>#REF!</f>
        <v>#REF!</v>
      </c>
      <c r="F133">
        <v>0</v>
      </c>
    </row>
    <row r="134" spans="1:6" ht="15.75" customHeight="1" x14ac:dyDescent="0.25">
      <c r="A134" s="61" t="s">
        <v>181</v>
      </c>
      <c r="B134" s="60" t="e">
        <f>B132-B133</f>
        <v>#REF!</v>
      </c>
      <c r="F134">
        <v>0</v>
      </c>
    </row>
  </sheetData>
  <autoFilter ref="A17:G120" xr:uid="{00000000-0009-0000-0000-000000000000}">
    <sortState xmlns:xlrd2="http://schemas.microsoft.com/office/spreadsheetml/2017/richdata2" ref="A18:G120">
      <sortCondition ref="A17:A120"/>
    </sortState>
  </autoFilter>
  <mergeCells count="5">
    <mergeCell ref="D8:E8"/>
    <mergeCell ref="A4:B5"/>
    <mergeCell ref="A2:E2"/>
    <mergeCell ref="D4:E4"/>
    <mergeCell ref="A3:E3"/>
  </mergeCells>
  <conditionalFormatting sqref="A18 A19:B25 A31:B31">
    <cfRule type="duplicateValues" dxfId="4" priority="5"/>
  </conditionalFormatting>
  <conditionalFormatting sqref="C20 C22:C31">
    <cfRule type="duplicateValues" dxfId="3" priority="4"/>
  </conditionalFormatting>
  <conditionalFormatting sqref="L11:M11">
    <cfRule type="duplicateValues" dxfId="2" priority="3"/>
  </conditionalFormatting>
  <conditionalFormatting sqref="L21:M22">
    <cfRule type="duplicateValues" dxfId="1" priority="2"/>
  </conditionalFormatting>
  <conditionalFormatting sqref="N2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Ricardo</dc:creator>
  <cp:lastModifiedBy>DP Mania de Moveis</cp:lastModifiedBy>
  <cp:lastPrinted>2026-07-09T13:53:34Z</cp:lastPrinted>
  <dcterms:created xsi:type="dcterms:W3CDTF">2015-06-05T18:19:34Z</dcterms:created>
  <dcterms:modified xsi:type="dcterms:W3CDTF">2026-09-09T16:36:13Z</dcterms:modified>
</cp:coreProperties>
</file>