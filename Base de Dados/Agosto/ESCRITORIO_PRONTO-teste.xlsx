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flavi\OneDrive\Desktop\Projeto_RH\Base de Dados\Agosto\"/>
    </mc:Choice>
  </mc:AlternateContent>
  <xr:revisionPtr revIDLastSave="0" documentId="13_ncr:1_{1BC012E7-30EB-4279-A72E-CD43A1279B6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Ago-2026" sheetId="1" r:id="rId1"/>
  </sheets>
  <definedNames>
    <definedName name="_xlnm._FilterDatabase" localSheetId="0" hidden="1">'Ago-2026'!$A$4:$AI$118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" i="1" l="1"/>
  <c r="R117" i="1"/>
  <c r="R92" i="1"/>
  <c r="R84" i="1"/>
  <c r="R65" i="1"/>
  <c r="R53" i="1"/>
  <c r="C122" i="1" l="1"/>
  <c r="C124" i="1"/>
  <c r="C123" i="1"/>
  <c r="R118" i="1"/>
  <c r="M118" i="1"/>
  <c r="G118" i="1"/>
  <c r="H118" i="1" s="1"/>
  <c r="R116" i="1"/>
  <c r="M116" i="1"/>
  <c r="G116" i="1"/>
  <c r="H116" i="1" s="1"/>
  <c r="R115" i="1"/>
  <c r="M115" i="1"/>
  <c r="G115" i="1"/>
  <c r="H115" i="1" s="1"/>
  <c r="R114" i="1"/>
  <c r="M114" i="1"/>
  <c r="G114" i="1"/>
  <c r="H114" i="1" s="1"/>
  <c r="R113" i="1"/>
  <c r="M113" i="1"/>
  <c r="G113" i="1"/>
  <c r="H113" i="1" s="1"/>
  <c r="R112" i="1"/>
  <c r="M112" i="1"/>
  <c r="G112" i="1"/>
  <c r="H112" i="1" s="1"/>
  <c r="R111" i="1"/>
  <c r="M111" i="1"/>
  <c r="G111" i="1"/>
  <c r="H111" i="1" s="1"/>
  <c r="R110" i="1"/>
  <c r="M110" i="1"/>
  <c r="G110" i="1"/>
  <c r="H110" i="1" s="1"/>
  <c r="R109" i="1"/>
  <c r="M109" i="1"/>
  <c r="G109" i="1"/>
  <c r="H109" i="1" s="1"/>
  <c r="R108" i="1"/>
  <c r="M108" i="1"/>
  <c r="G108" i="1"/>
  <c r="H108" i="1" s="1"/>
  <c r="R107" i="1"/>
  <c r="M107" i="1"/>
  <c r="G107" i="1"/>
  <c r="H107" i="1" s="1"/>
  <c r="R106" i="1"/>
  <c r="M106" i="1"/>
  <c r="G106" i="1"/>
  <c r="H106" i="1" s="1"/>
  <c r="R105" i="1"/>
  <c r="M105" i="1"/>
  <c r="G105" i="1"/>
  <c r="H105" i="1" s="1"/>
  <c r="R104" i="1"/>
  <c r="M104" i="1"/>
  <c r="G104" i="1"/>
  <c r="H104" i="1" s="1"/>
  <c r="R103" i="1"/>
  <c r="M103" i="1"/>
  <c r="G103" i="1"/>
  <c r="H103" i="1" s="1"/>
  <c r="R102" i="1"/>
  <c r="M102" i="1"/>
  <c r="G102" i="1"/>
  <c r="H102" i="1" s="1"/>
  <c r="R101" i="1"/>
  <c r="M101" i="1"/>
  <c r="G101" i="1"/>
  <c r="H101" i="1" s="1"/>
  <c r="R100" i="1"/>
  <c r="M100" i="1"/>
  <c r="G100" i="1"/>
  <c r="H100" i="1" s="1"/>
  <c r="R99" i="1"/>
  <c r="M99" i="1"/>
  <c r="G99" i="1"/>
  <c r="H99" i="1" s="1"/>
  <c r="R98" i="1"/>
  <c r="M98" i="1"/>
  <c r="G98" i="1"/>
  <c r="H98" i="1" s="1"/>
  <c r="R97" i="1"/>
  <c r="M97" i="1"/>
  <c r="G97" i="1"/>
  <c r="H97" i="1" s="1"/>
  <c r="R96" i="1"/>
  <c r="M96" i="1"/>
  <c r="G96" i="1"/>
  <c r="H96" i="1" s="1"/>
  <c r="R95" i="1"/>
  <c r="M95" i="1"/>
  <c r="G95" i="1"/>
  <c r="H95" i="1" s="1"/>
  <c r="R94" i="1"/>
  <c r="M94" i="1"/>
  <c r="G94" i="1"/>
  <c r="H94" i="1" s="1"/>
  <c r="R93" i="1"/>
  <c r="M93" i="1"/>
  <c r="G93" i="1"/>
  <c r="H93" i="1" s="1"/>
  <c r="M92" i="1"/>
  <c r="G92" i="1"/>
  <c r="H92" i="1" s="1"/>
  <c r="R91" i="1"/>
  <c r="M91" i="1"/>
  <c r="G91" i="1"/>
  <c r="H91" i="1" s="1"/>
  <c r="R90" i="1"/>
  <c r="M90" i="1"/>
  <c r="G90" i="1"/>
  <c r="H90" i="1" s="1"/>
  <c r="R89" i="1"/>
  <c r="M89" i="1"/>
  <c r="G89" i="1"/>
  <c r="H89" i="1" s="1"/>
  <c r="R88" i="1"/>
  <c r="M88" i="1"/>
  <c r="G88" i="1"/>
  <c r="H88" i="1" s="1"/>
  <c r="R87" i="1"/>
  <c r="M87" i="1"/>
  <c r="G87" i="1"/>
  <c r="H87" i="1" s="1"/>
  <c r="R86" i="1"/>
  <c r="M86" i="1"/>
  <c r="G86" i="1"/>
  <c r="H86" i="1" s="1"/>
  <c r="R85" i="1"/>
  <c r="M85" i="1"/>
  <c r="G85" i="1"/>
  <c r="H85" i="1" s="1"/>
  <c r="M84" i="1"/>
  <c r="G84" i="1"/>
  <c r="H84" i="1" s="1"/>
  <c r="R83" i="1"/>
  <c r="M83" i="1"/>
  <c r="G83" i="1"/>
  <c r="H83" i="1" s="1"/>
  <c r="R82" i="1"/>
  <c r="M82" i="1"/>
  <c r="G82" i="1"/>
  <c r="H82" i="1" s="1"/>
  <c r="R81" i="1"/>
  <c r="M81" i="1"/>
  <c r="G81" i="1"/>
  <c r="H81" i="1" s="1"/>
  <c r="R80" i="1"/>
  <c r="M80" i="1"/>
  <c r="G80" i="1"/>
  <c r="H80" i="1" s="1"/>
  <c r="R79" i="1"/>
  <c r="M79" i="1"/>
  <c r="G79" i="1"/>
  <c r="H79" i="1" s="1"/>
  <c r="R78" i="1"/>
  <c r="M78" i="1"/>
  <c r="G78" i="1"/>
  <c r="H78" i="1" s="1"/>
  <c r="R77" i="1"/>
  <c r="M77" i="1"/>
  <c r="G77" i="1"/>
  <c r="H77" i="1" s="1"/>
  <c r="R76" i="1"/>
  <c r="M76" i="1"/>
  <c r="G76" i="1"/>
  <c r="H76" i="1" s="1"/>
  <c r="R75" i="1"/>
  <c r="M75" i="1"/>
  <c r="G75" i="1"/>
  <c r="H75" i="1" s="1"/>
  <c r="R74" i="1"/>
  <c r="M74" i="1"/>
  <c r="G74" i="1"/>
  <c r="H74" i="1" s="1"/>
  <c r="R73" i="1"/>
  <c r="M73" i="1"/>
  <c r="G73" i="1"/>
  <c r="H73" i="1" s="1"/>
  <c r="R72" i="1"/>
  <c r="M72" i="1"/>
  <c r="G72" i="1"/>
  <c r="H72" i="1" s="1"/>
  <c r="R71" i="1"/>
  <c r="M71" i="1"/>
  <c r="G71" i="1"/>
  <c r="H71" i="1" s="1"/>
  <c r="R70" i="1"/>
  <c r="M70" i="1"/>
  <c r="G70" i="1"/>
  <c r="H70" i="1" s="1"/>
  <c r="R69" i="1"/>
  <c r="M69" i="1"/>
  <c r="G69" i="1"/>
  <c r="H69" i="1" s="1"/>
  <c r="R68" i="1"/>
  <c r="M68" i="1"/>
  <c r="G68" i="1"/>
  <c r="H68" i="1" s="1"/>
  <c r="R67" i="1"/>
  <c r="M67" i="1"/>
  <c r="G67" i="1"/>
  <c r="H67" i="1" s="1"/>
  <c r="R66" i="1"/>
  <c r="M66" i="1"/>
  <c r="G66" i="1"/>
  <c r="H66" i="1" s="1"/>
  <c r="M65" i="1"/>
  <c r="G65" i="1"/>
  <c r="H65" i="1" s="1"/>
  <c r="R64" i="1"/>
  <c r="M64" i="1"/>
  <c r="G64" i="1"/>
  <c r="H64" i="1" s="1"/>
  <c r="R63" i="1"/>
  <c r="M63" i="1"/>
  <c r="G63" i="1"/>
  <c r="H63" i="1" s="1"/>
  <c r="R62" i="1"/>
  <c r="M62" i="1"/>
  <c r="G62" i="1"/>
  <c r="H62" i="1" s="1"/>
  <c r="R61" i="1"/>
  <c r="M61" i="1"/>
  <c r="G61" i="1"/>
  <c r="H61" i="1" s="1"/>
  <c r="R60" i="1"/>
  <c r="M60" i="1"/>
  <c r="G60" i="1"/>
  <c r="H60" i="1" s="1"/>
  <c r="R59" i="1"/>
  <c r="M59" i="1"/>
  <c r="G59" i="1"/>
  <c r="H59" i="1" s="1"/>
  <c r="R58" i="1"/>
  <c r="M58" i="1"/>
  <c r="G58" i="1"/>
  <c r="H58" i="1" s="1"/>
  <c r="R57" i="1"/>
  <c r="M57" i="1"/>
  <c r="G57" i="1"/>
  <c r="H57" i="1" s="1"/>
  <c r="R56" i="1"/>
  <c r="M56" i="1"/>
  <c r="G56" i="1"/>
  <c r="H56" i="1" s="1"/>
  <c r="R55" i="1"/>
  <c r="M55" i="1"/>
  <c r="G55" i="1"/>
  <c r="H55" i="1" s="1"/>
  <c r="R54" i="1"/>
  <c r="M54" i="1"/>
  <c r="G54" i="1"/>
  <c r="H54" i="1" s="1"/>
  <c r="R52" i="1"/>
  <c r="M52" i="1"/>
  <c r="G52" i="1"/>
  <c r="H52" i="1" s="1"/>
  <c r="R51" i="1"/>
  <c r="M51" i="1"/>
  <c r="G51" i="1"/>
  <c r="H51" i="1" s="1"/>
  <c r="R50" i="1"/>
  <c r="M50" i="1"/>
  <c r="G50" i="1"/>
  <c r="H50" i="1" s="1"/>
  <c r="R49" i="1"/>
  <c r="M49" i="1"/>
  <c r="G49" i="1"/>
  <c r="H49" i="1" s="1"/>
  <c r="R48" i="1"/>
  <c r="M48" i="1"/>
  <c r="G48" i="1"/>
  <c r="H48" i="1" s="1"/>
  <c r="R47" i="1"/>
  <c r="M47" i="1"/>
  <c r="G47" i="1"/>
  <c r="H47" i="1" s="1"/>
  <c r="R46" i="1"/>
  <c r="M46" i="1"/>
  <c r="G46" i="1"/>
  <c r="H46" i="1" s="1"/>
  <c r="R44" i="1"/>
  <c r="M44" i="1"/>
  <c r="G44" i="1"/>
  <c r="H44" i="1" s="1"/>
  <c r="R43" i="1"/>
  <c r="M43" i="1"/>
  <c r="G43" i="1"/>
  <c r="H43" i="1" s="1"/>
  <c r="R42" i="1"/>
  <c r="M42" i="1"/>
  <c r="G42" i="1"/>
  <c r="H42" i="1" s="1"/>
  <c r="R41" i="1"/>
  <c r="M41" i="1"/>
  <c r="G41" i="1"/>
  <c r="H41" i="1" s="1"/>
  <c r="R40" i="1"/>
  <c r="M40" i="1"/>
  <c r="G40" i="1"/>
  <c r="H40" i="1" s="1"/>
  <c r="R39" i="1"/>
  <c r="M39" i="1"/>
  <c r="G39" i="1"/>
  <c r="H39" i="1" s="1"/>
  <c r="R38" i="1"/>
  <c r="M38" i="1"/>
  <c r="G38" i="1"/>
  <c r="H38" i="1" s="1"/>
  <c r="R37" i="1"/>
  <c r="M37" i="1"/>
  <c r="G37" i="1"/>
  <c r="H37" i="1" s="1"/>
  <c r="R36" i="1"/>
  <c r="M36" i="1"/>
  <c r="G36" i="1"/>
  <c r="H36" i="1" s="1"/>
  <c r="R35" i="1"/>
  <c r="M35" i="1"/>
  <c r="G35" i="1"/>
  <c r="H35" i="1" s="1"/>
  <c r="R34" i="1"/>
  <c r="M34" i="1"/>
  <c r="G34" i="1"/>
  <c r="H34" i="1" s="1"/>
  <c r="R33" i="1"/>
  <c r="M33" i="1"/>
  <c r="G33" i="1"/>
  <c r="H33" i="1" s="1"/>
  <c r="R32" i="1"/>
  <c r="M32" i="1"/>
  <c r="G32" i="1"/>
  <c r="H32" i="1" s="1"/>
  <c r="R31" i="1"/>
  <c r="M31" i="1"/>
  <c r="G31" i="1"/>
  <c r="H31" i="1" s="1"/>
  <c r="R30" i="1"/>
  <c r="G30" i="1"/>
  <c r="H30" i="1" s="1"/>
  <c r="R29" i="1"/>
  <c r="M29" i="1"/>
  <c r="G29" i="1"/>
  <c r="H29" i="1" s="1"/>
  <c r="R28" i="1"/>
  <c r="M28" i="1"/>
  <c r="G28" i="1"/>
  <c r="H28" i="1" s="1"/>
  <c r="R27" i="1"/>
  <c r="M27" i="1"/>
  <c r="G27" i="1"/>
  <c r="H27" i="1" s="1"/>
  <c r="R26" i="1"/>
  <c r="M26" i="1"/>
  <c r="G26" i="1"/>
  <c r="H26" i="1" s="1"/>
  <c r="R25" i="1"/>
  <c r="M25" i="1"/>
  <c r="G25" i="1"/>
  <c r="H25" i="1" s="1"/>
  <c r="R24" i="1"/>
  <c r="M24" i="1"/>
  <c r="G24" i="1"/>
  <c r="H24" i="1" s="1"/>
  <c r="R23" i="1"/>
  <c r="M23" i="1"/>
  <c r="G23" i="1"/>
  <c r="H23" i="1" s="1"/>
  <c r="R22" i="1"/>
  <c r="M22" i="1"/>
  <c r="G22" i="1"/>
  <c r="H22" i="1" s="1"/>
  <c r="R21" i="1"/>
  <c r="M21" i="1"/>
  <c r="G21" i="1"/>
  <c r="H21" i="1" s="1"/>
  <c r="R20" i="1"/>
  <c r="M20" i="1"/>
  <c r="G20" i="1"/>
  <c r="H20" i="1" s="1"/>
  <c r="R19" i="1"/>
  <c r="M19" i="1"/>
  <c r="G19" i="1"/>
  <c r="H19" i="1" s="1"/>
  <c r="R18" i="1"/>
  <c r="M18" i="1"/>
  <c r="G18" i="1"/>
  <c r="H18" i="1" s="1"/>
  <c r="R17" i="1"/>
  <c r="M17" i="1"/>
  <c r="G17" i="1"/>
  <c r="H17" i="1" s="1"/>
  <c r="R15" i="1"/>
  <c r="M15" i="1"/>
  <c r="G15" i="1"/>
  <c r="H15" i="1" s="1"/>
  <c r="R16" i="1"/>
  <c r="M16" i="1"/>
  <c r="G16" i="1"/>
  <c r="H16" i="1" s="1"/>
  <c r="R14" i="1"/>
  <c r="M14" i="1"/>
  <c r="G14" i="1"/>
  <c r="H14" i="1" s="1"/>
  <c r="R12" i="1"/>
  <c r="M12" i="1"/>
  <c r="G12" i="1"/>
  <c r="H12" i="1" s="1"/>
  <c r="R11" i="1"/>
  <c r="M11" i="1"/>
  <c r="G11" i="1"/>
  <c r="H11" i="1" s="1"/>
  <c r="R10" i="1"/>
  <c r="M10" i="1"/>
  <c r="G10" i="1"/>
  <c r="H10" i="1" s="1"/>
  <c r="R9" i="1"/>
  <c r="G9" i="1"/>
  <c r="H9" i="1" s="1"/>
  <c r="R8" i="1"/>
  <c r="M8" i="1"/>
  <c r="G8" i="1"/>
  <c r="H8" i="1" s="1"/>
  <c r="R7" i="1"/>
  <c r="M7" i="1"/>
  <c r="G7" i="1"/>
  <c r="H7" i="1" s="1"/>
  <c r="R6" i="1"/>
  <c r="M6" i="1"/>
  <c r="G6" i="1"/>
  <c r="H6" i="1" s="1"/>
  <c r="R5" i="1"/>
  <c r="M5" i="1"/>
  <c r="G5" i="1"/>
  <c r="H5" i="1" s="1"/>
  <c r="C12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E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ID#AAACExhkAdg
tc={43D6E735-01B5-463E-A988-70FAB146A952}    (2026-08-03 14:18:12)
[Comentário encadeado]
Sua versão do Excel permite que você leia este comentário encadeado, no entanto, as edições serão removidas se o arquivo for aberto em uma versão mais recente do Excel. Saiba mais: https://go.microsoft.com/fwlink/?linkid=870924
Comentário:
    FECHAMENTO DO MÊS ANTERIOR DO DIA 1 AO ULTIMO DIA DO MÊS</t>
        </r>
      </text>
    </comment>
    <comment ref="AF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ID#AAACExhkAdY
tc={918D7F24-CAE0-4465-91CF-3213E8E279B5}    (2026-08-03 14:18:12)
[Comentário encadeado]
Sua versão do Excel permite que você leia este comentário encadeado, no entanto, as edições serão removidas se o arquivo for aberto em uma versão mais recente do Excel. Saiba mais: https://go.microsoft.com/fwlink/?linkid=870924
Comentário:
    LANÇAR MÓVEIS COMPRADOS PELO FUNCIONÁRIO</t>
        </r>
      </text>
    </comment>
  </commentList>
</comments>
</file>

<file path=xl/sharedStrings.xml><?xml version="1.0" encoding="utf-8"?>
<sst xmlns="http://schemas.openxmlformats.org/spreadsheetml/2006/main" count="483" uniqueCount="291">
  <si>
    <t xml:space="preserve">Matricula </t>
  </si>
  <si>
    <t xml:space="preserve">Nome do Colaborador </t>
  </si>
  <si>
    <t xml:space="preserve">Nascimento </t>
  </si>
  <si>
    <t>CPF</t>
  </si>
  <si>
    <t>Admissão 01</t>
  </si>
  <si>
    <t xml:space="preserve">Admissão </t>
  </si>
  <si>
    <t>Experiencia 1ºPerido (45 dias)</t>
  </si>
  <si>
    <t>Experiencia 2ºPerido (45 dias)</t>
  </si>
  <si>
    <t xml:space="preserve">Função </t>
  </si>
  <si>
    <t xml:space="preserve">Setor </t>
  </si>
  <si>
    <t>5,2% /2026</t>
  </si>
  <si>
    <t>$$$</t>
  </si>
  <si>
    <t xml:space="preserve">Salário Holerite </t>
  </si>
  <si>
    <t xml:space="preserve">Sálario </t>
  </si>
  <si>
    <t>Gratificação  %</t>
  </si>
  <si>
    <t>Gratificação</t>
  </si>
  <si>
    <t xml:space="preserve">Bonus /Ajuda de Custo </t>
  </si>
  <si>
    <t>Horas Extras + ADC 50%</t>
  </si>
  <si>
    <t>Horas Extras + ADC 100%</t>
  </si>
  <si>
    <t>Adicional Noturno 25%</t>
  </si>
  <si>
    <t>Emprestimo Consignado CLT</t>
  </si>
  <si>
    <t xml:space="preserve">Reflexo de Férias </t>
  </si>
  <si>
    <t xml:space="preserve">Total </t>
  </si>
  <si>
    <t>INSS</t>
  </si>
  <si>
    <t>IRRF</t>
  </si>
  <si>
    <t>Adiant</t>
  </si>
  <si>
    <t xml:space="preserve">Convenio Farmácia </t>
  </si>
  <si>
    <t xml:space="preserve">Vales </t>
  </si>
  <si>
    <t>Adiant SR</t>
  </si>
  <si>
    <t>Faltas  /DSR</t>
  </si>
  <si>
    <t>Faltas Atrasos Horas</t>
  </si>
  <si>
    <t>453.404.258-27</t>
  </si>
  <si>
    <t>LIDER DE SETOR COLADEIRA</t>
  </si>
  <si>
    <t>Coladeira</t>
  </si>
  <si>
    <t/>
  </si>
  <si>
    <t>Agda Olivia Leoncio</t>
  </si>
  <si>
    <t>133.410.948-65</t>
  </si>
  <si>
    <t>AUXILIAR DE PRODUCAO</t>
  </si>
  <si>
    <t>Uchoa</t>
  </si>
  <si>
    <t>473.916.248-29</t>
  </si>
  <si>
    <t>Suplyn Chain</t>
  </si>
  <si>
    <t xml:space="preserve">Ana Carolina  Sant Ana Vieira </t>
  </si>
  <si>
    <t>433.874.888-58</t>
  </si>
  <si>
    <t>Embalagem</t>
  </si>
  <si>
    <t>181.124.864-09</t>
  </si>
  <si>
    <t>Ana Paula Ribeiro</t>
  </si>
  <si>
    <t>047.430.335-78</t>
  </si>
  <si>
    <t>André Tavares de Santana</t>
  </si>
  <si>
    <t>453.404.588-30</t>
  </si>
  <si>
    <t xml:space="preserve">Furadeira </t>
  </si>
  <si>
    <t xml:space="preserve">Andrea da Silva Baracha </t>
  </si>
  <si>
    <t>123.417.234-89</t>
  </si>
  <si>
    <t>uchoa</t>
  </si>
  <si>
    <t>372.599.748-93</t>
  </si>
  <si>
    <t xml:space="preserve">Beatriz Tavares Félix da Silva </t>
  </si>
  <si>
    <t>520.540.078-11</t>
  </si>
  <si>
    <t xml:space="preserve">Beatriz da Silva Rodrigues Moura </t>
  </si>
  <si>
    <t>107.066.144-96</t>
  </si>
  <si>
    <t>Camila Viturino da Silva</t>
  </si>
  <si>
    <t>508.860.148-40</t>
  </si>
  <si>
    <t>Pintura</t>
  </si>
  <si>
    <t xml:space="preserve">Carina Tangerino </t>
  </si>
  <si>
    <t>214.016.458-01</t>
  </si>
  <si>
    <t>FAXINEIRA</t>
  </si>
  <si>
    <t xml:space="preserve">Geral </t>
  </si>
  <si>
    <t>Carlos Eduardo Modena</t>
  </si>
  <si>
    <t>331.974.298-18</t>
  </si>
  <si>
    <t>MOTORISTA</t>
  </si>
  <si>
    <t>539.272.438-84</t>
  </si>
  <si>
    <t>Carlos Wallison Gomes de Amorim</t>
  </si>
  <si>
    <t>048.103.821-33</t>
  </si>
  <si>
    <t xml:space="preserve">Cicero Neto Alves Rabelo </t>
  </si>
  <si>
    <t>147.198.814-75</t>
  </si>
  <si>
    <t xml:space="preserve">Coladeira </t>
  </si>
  <si>
    <t xml:space="preserve">Cleudiane Valeria da Silva </t>
  </si>
  <si>
    <t>410.705.848-43</t>
  </si>
  <si>
    <t>Daiane Araujo Nogueira</t>
  </si>
  <si>
    <t>379.652.098-70</t>
  </si>
  <si>
    <t>Daniel Sabarros Lima Oliveira</t>
  </si>
  <si>
    <t>375.260.178-79</t>
  </si>
  <si>
    <t>Daniela da Silva Alves</t>
  </si>
  <si>
    <t>108.523.694-33</t>
  </si>
  <si>
    <t xml:space="preserve">David do Nascimento Gonçalves </t>
  </si>
  <si>
    <t>539.172.798-78</t>
  </si>
  <si>
    <t>Dener Luiz da Silva</t>
  </si>
  <si>
    <t>465.531.358-78</t>
  </si>
  <si>
    <t>Diego Fabricio Pascoal</t>
  </si>
  <si>
    <t>421.889.448-52</t>
  </si>
  <si>
    <t>LIDER DE PRODUÇÃO</t>
  </si>
  <si>
    <t xml:space="preserve">Edson Eduardo Oliveira </t>
  </si>
  <si>
    <t>579.206.158-01</t>
  </si>
  <si>
    <t>Eduardo Chaves De Souza</t>
  </si>
  <si>
    <t>403.692.648-94</t>
  </si>
  <si>
    <t>ANALISTA DE SUPPLY CHAIN</t>
  </si>
  <si>
    <t>Aux Suplyn Chain</t>
  </si>
  <si>
    <t>Elaine Perpetua Marino</t>
  </si>
  <si>
    <t>295.753.138-01</t>
  </si>
  <si>
    <t>Elenira de Freitas Pereira da Silva</t>
  </si>
  <si>
    <t>059.339.134-99</t>
  </si>
  <si>
    <t>Furadeira</t>
  </si>
  <si>
    <t xml:space="preserve">Elias Honorio  Garcia </t>
  </si>
  <si>
    <t>456.866.418-70</t>
  </si>
  <si>
    <t>Emily Cristina de Lima Rodrigues</t>
  </si>
  <si>
    <t>528.944.838-13</t>
  </si>
  <si>
    <t xml:space="preserve">Erick Douglas Silva </t>
  </si>
  <si>
    <t>386.745.498-10</t>
  </si>
  <si>
    <t>LIDER SETOR FURADEIRA</t>
  </si>
  <si>
    <t>294.889.418-20</t>
  </si>
  <si>
    <t>Fernanda Soares Evangelista</t>
  </si>
  <si>
    <t>136.136.794-69</t>
  </si>
  <si>
    <t>Coladora</t>
  </si>
  <si>
    <t>456.922.348-66</t>
  </si>
  <si>
    <t xml:space="preserve">Francisca Freire de Paiva Morais </t>
  </si>
  <si>
    <t>403.368.868-45</t>
  </si>
  <si>
    <t>Francisco Alves dos Santos</t>
  </si>
  <si>
    <t>124.661.504-50</t>
  </si>
  <si>
    <t>Gabriel Felipe de Araujo de Moraes Braz</t>
  </si>
  <si>
    <t>487.180.648-09</t>
  </si>
  <si>
    <t>AUXILIAR DE PRODUÇÃO II</t>
  </si>
  <si>
    <t>Gabriela Edwirges Da Silva Gonçalo</t>
  </si>
  <si>
    <t>374.973.128-47</t>
  </si>
  <si>
    <t xml:space="preserve">Geisa Ferreira da Silva </t>
  </si>
  <si>
    <t>560.804.758-39</t>
  </si>
  <si>
    <t>Guilherme De Gouveia Luiz</t>
  </si>
  <si>
    <t>426.545.428-31</t>
  </si>
  <si>
    <t>LIDER DE SECCIONADORA</t>
  </si>
  <si>
    <t xml:space="preserve">Seccionadora </t>
  </si>
  <si>
    <t>Gustavo Ribeiro</t>
  </si>
  <si>
    <t>443.566.328-77</t>
  </si>
  <si>
    <t>551.011.658-75</t>
  </si>
  <si>
    <t xml:space="preserve">Israel da Silva de Sousa </t>
  </si>
  <si>
    <t>241.312.948-00</t>
  </si>
  <si>
    <t>Jaime Milton de Lima</t>
  </si>
  <si>
    <t>064.674.768-16</t>
  </si>
  <si>
    <t xml:space="preserve">Jassiane Vaz de Lima Gaspar </t>
  </si>
  <si>
    <t>429.343.128-44</t>
  </si>
  <si>
    <t>469.997.278-05</t>
  </si>
  <si>
    <t xml:space="preserve">Jocilene Barbosa da Silva Conceição </t>
  </si>
  <si>
    <t>054.358.014-86</t>
  </si>
  <si>
    <t>José Alexsandro Pereira</t>
  </si>
  <si>
    <t>113.135.424-90</t>
  </si>
  <si>
    <t>José Almeida dos Santos Neto</t>
  </si>
  <si>
    <t>483.946.808-79</t>
  </si>
  <si>
    <t xml:space="preserve">Joseane Machado Barbosa </t>
  </si>
  <si>
    <t>608.844.023-63</t>
  </si>
  <si>
    <t xml:space="preserve">Julio Cesar Pereira da Silva </t>
  </si>
  <si>
    <t>388.530.528-30</t>
  </si>
  <si>
    <t>AUXILIAR SUPLLY CHAIN</t>
  </si>
  <si>
    <t>Aux Splin Chain</t>
  </si>
  <si>
    <t>607.963.388-41</t>
  </si>
  <si>
    <t xml:space="preserve">Kaila Regina Ferreira </t>
  </si>
  <si>
    <t>462.894.788-00</t>
  </si>
  <si>
    <t>Kaique Sousa Rocha</t>
  </si>
  <si>
    <t>529.448.728-42</t>
  </si>
  <si>
    <t xml:space="preserve">Katiana da Conceição Lima Ferreira </t>
  </si>
  <si>
    <t>360.952.158-97</t>
  </si>
  <si>
    <t xml:space="preserve">Kely Patricia Ribeiro da Silva </t>
  </si>
  <si>
    <t>330.636.498-30</t>
  </si>
  <si>
    <t xml:space="preserve">Laudiceia Perpetua Biaqui Ferreira </t>
  </si>
  <si>
    <t>261.415.018-50</t>
  </si>
  <si>
    <t>Leandro Bento Romualdo</t>
  </si>
  <si>
    <t>486.461.158-01</t>
  </si>
  <si>
    <t>Leonardo Batista Rodrigues</t>
  </si>
  <si>
    <t>467.670.648-07</t>
  </si>
  <si>
    <t xml:space="preserve">Leonardo Felipe Cardoso Rodrigues </t>
  </si>
  <si>
    <t>461.963.068-39</t>
  </si>
  <si>
    <t xml:space="preserve">Leonildo Sebastião de Amorim </t>
  </si>
  <si>
    <t>489.399.888-92</t>
  </si>
  <si>
    <t>Luana Fernandes Caetano da Silva</t>
  </si>
  <si>
    <t>129.271.944-32</t>
  </si>
  <si>
    <t xml:space="preserve">Luiz Fernando de Oliveira </t>
  </si>
  <si>
    <t>448.032.778-93</t>
  </si>
  <si>
    <t>ANALISTA DE RH</t>
  </si>
  <si>
    <t xml:space="preserve">Recursos Humanos </t>
  </si>
  <si>
    <t>Luiz Fernando Magione</t>
  </si>
  <si>
    <t>559.940.458-70</t>
  </si>
  <si>
    <t>509.777.898-70</t>
  </si>
  <si>
    <t>Maicon Denis Fernandes Santana</t>
  </si>
  <si>
    <t>472.212.648-80</t>
  </si>
  <si>
    <t>Maicon Douglas Marion</t>
  </si>
  <si>
    <t>460.458.258-02</t>
  </si>
  <si>
    <t>091.035.273-95</t>
  </si>
  <si>
    <t xml:space="preserve">Marcela Cristina da Silva </t>
  </si>
  <si>
    <t>440.942.508-08</t>
  </si>
  <si>
    <t xml:space="preserve">Marcela Fernanda Cestari </t>
  </si>
  <si>
    <t>483.241.068-71</t>
  </si>
  <si>
    <t xml:space="preserve">Marcela Valentin </t>
  </si>
  <si>
    <t>317.851.918-10</t>
  </si>
  <si>
    <t>Marcos Alexandre Alves Mazin</t>
  </si>
  <si>
    <t>503.863.598-90</t>
  </si>
  <si>
    <t xml:space="preserve">Marcos Bianchi da Cunha </t>
  </si>
  <si>
    <t>321.279.858-00</t>
  </si>
  <si>
    <t>Maria do Socorro Ramos Nascimento</t>
  </si>
  <si>
    <t>395.344.788-22</t>
  </si>
  <si>
    <t>LIDER DE SETOR EMBALAGEM</t>
  </si>
  <si>
    <t xml:space="preserve">Maria Guilherme da Silva </t>
  </si>
  <si>
    <t>087.458.774-32</t>
  </si>
  <si>
    <t xml:space="preserve">Uchoa </t>
  </si>
  <si>
    <t xml:space="preserve">Maria Jose Barbosa Ferreira da Silva </t>
  </si>
  <si>
    <t>069.255.334-70</t>
  </si>
  <si>
    <t>Maria José de Jesus Vieira</t>
  </si>
  <si>
    <t>022.425.765-00</t>
  </si>
  <si>
    <t xml:space="preserve">Mariane Pires Ferreira </t>
  </si>
  <si>
    <t>862.158.855-25</t>
  </si>
  <si>
    <t>Mariene Pereira Dos Anjos</t>
  </si>
  <si>
    <t>007.274.305-05</t>
  </si>
  <si>
    <t xml:space="preserve">Marilene Pereira da Silva </t>
  </si>
  <si>
    <t>357.988.508-11</t>
  </si>
  <si>
    <t>Marisete Mazin</t>
  </si>
  <si>
    <t>220.001.118-07</t>
  </si>
  <si>
    <t>Nicolas Wagner da Silva</t>
  </si>
  <si>
    <t>135.935.504-90</t>
  </si>
  <si>
    <t xml:space="preserve">Patricia Leite Cerqueira </t>
  </si>
  <si>
    <t>428.611.768-57</t>
  </si>
  <si>
    <t xml:space="preserve">Paulo Sergio Pereira </t>
  </si>
  <si>
    <t>171.704.394-17</t>
  </si>
  <si>
    <t>Pedro Henrique Bortolim da Silva</t>
  </si>
  <si>
    <t>518.139.788-32</t>
  </si>
  <si>
    <t>512.514.868-78</t>
  </si>
  <si>
    <t>Priscila Aparecida Cerqueira</t>
  </si>
  <si>
    <t>419.283.668-80</t>
  </si>
  <si>
    <t xml:space="preserve">Rafael de Araujo Silva </t>
  </si>
  <si>
    <t>505.707.128-90</t>
  </si>
  <si>
    <t xml:space="preserve">Rafaela da Silva Teixeira </t>
  </si>
  <si>
    <t>494.688.598-60</t>
  </si>
  <si>
    <t xml:space="preserve">Raquel Luciana Sebastião Poletti </t>
  </si>
  <si>
    <t>180.470.608-64</t>
  </si>
  <si>
    <t>Renata Batista Dos Santos</t>
  </si>
  <si>
    <t>368.402.168-70</t>
  </si>
  <si>
    <t>Risoneide Rosa Da Silva Alves</t>
  </si>
  <si>
    <t>086.559.614-00</t>
  </si>
  <si>
    <t xml:space="preserve">Rodrigo Rodrigues Murca </t>
  </si>
  <si>
    <t>415.642.768-48</t>
  </si>
  <si>
    <t>SUPERVISOR DE PRODUÇÃO</t>
  </si>
  <si>
    <t xml:space="preserve">Ronilson Alves de Lima </t>
  </si>
  <si>
    <t>501.251.628-12</t>
  </si>
  <si>
    <t>ASSISTENTE DE RH</t>
  </si>
  <si>
    <t xml:space="preserve">Rosana Sebastião </t>
  </si>
  <si>
    <t>217.811.998-09</t>
  </si>
  <si>
    <t>Rubens Fabio De Lima</t>
  </si>
  <si>
    <t>281.460.628-06</t>
  </si>
  <si>
    <t>ENCARREGADO DE PRODUCAO</t>
  </si>
  <si>
    <t xml:space="preserve">Ryan Jason Batista de Souza </t>
  </si>
  <si>
    <t>597.720.968-11</t>
  </si>
  <si>
    <t xml:space="preserve">Sarah Cindy Garcia </t>
  </si>
  <si>
    <t>494.071.298-29</t>
  </si>
  <si>
    <t>Simone Bortoli</t>
  </si>
  <si>
    <t>374.776.738-95</t>
  </si>
  <si>
    <t>Taylene Castilho</t>
  </si>
  <si>
    <t>472.247.578-45</t>
  </si>
  <si>
    <t>Tiago de Andrade Gomes</t>
  </si>
  <si>
    <t>146.326.734-71</t>
  </si>
  <si>
    <t xml:space="preserve">Tiago Henrique do Nascimento Duarte </t>
  </si>
  <si>
    <t>427.957.558-40</t>
  </si>
  <si>
    <t xml:space="preserve">Vagner Lara Dultra </t>
  </si>
  <si>
    <t>551.865.638-62</t>
  </si>
  <si>
    <t>Vanderleia Cristina Galharde</t>
  </si>
  <si>
    <t>309.999.718-83</t>
  </si>
  <si>
    <t>Victor Henrique Daluia</t>
  </si>
  <si>
    <t>541.113.188-00</t>
  </si>
  <si>
    <t>Vitoria Canossa</t>
  </si>
  <si>
    <t>464.588.198-11</t>
  </si>
  <si>
    <t>Vitória Carolina Novaes Luiz</t>
  </si>
  <si>
    <t>426.545.418-60</t>
  </si>
  <si>
    <t>Viviane Ventura Da Silva</t>
  </si>
  <si>
    <t>098.051.534-36</t>
  </si>
  <si>
    <t xml:space="preserve">Welington Augusto Filho </t>
  </si>
  <si>
    <t>573.009.568-66</t>
  </si>
  <si>
    <t>568.192.528-54</t>
  </si>
  <si>
    <t>Total de  Colaboradores</t>
  </si>
  <si>
    <t>Total de Horas Extras</t>
  </si>
  <si>
    <t>Total de Horas Extras (100%)</t>
  </si>
  <si>
    <t xml:space="preserve">Total geral de Horas </t>
  </si>
  <si>
    <t>Ana Paula Barbosa Lima</t>
  </si>
  <si>
    <t>Carlos Henrique Gimenes Martins</t>
  </si>
  <si>
    <t>Aparecida Andrea Castilho</t>
  </si>
  <si>
    <t>Mara Ivanirlly Santos</t>
  </si>
  <si>
    <t>Adriana Tavares Santana</t>
  </si>
  <si>
    <t>Alexandre Bezerra de Freitas</t>
  </si>
  <si>
    <t>Fabiano Lourenço Carnieri</t>
  </si>
  <si>
    <t xml:space="preserve">Flávio Rodrigues dos Santos </t>
  </si>
  <si>
    <t xml:space="preserve">Iris Meirele Amaro Gomes </t>
  </si>
  <si>
    <t xml:space="preserve">Jessica Nicassio Flor da Silva </t>
  </si>
  <si>
    <t>Junior Rafael Fernandes</t>
  </si>
  <si>
    <t>Luiz Moreno Cappucci</t>
  </si>
  <si>
    <t>Polyana Nara Fazan</t>
  </si>
  <si>
    <t>Yasmin Aparecida Bataline</t>
  </si>
  <si>
    <t>Anthony Dedin Da Silva</t>
  </si>
  <si>
    <t>Gleice Kely Da Silva Rodrigues Barroso</t>
  </si>
  <si>
    <t>João Carlos Perfeito Feitosa</t>
  </si>
  <si>
    <t>Wesley Henrique Da Silva Leme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</si>
</sst>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$&quot;\ * #,##0.00_-;\-&quot;R$&quot;\ * #,##0.00_-;_-&quot;R$&quot;\ * &quot;-&quot;??_-;_-@"/>
    <numFmt numFmtId="165" formatCode="[h]:mm"/>
    <numFmt numFmtId="166" formatCode="0.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0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2CB"/>
        <bgColor rgb="FFFFF2CB"/>
      </patternFill>
    </fill>
    <fill>
      <patternFill patternType="solid">
        <fgColor rgb="FFFFFF00"/>
        <bgColor rgb="FFFFFF00"/>
      </patternFill>
    </fill>
    <fill>
      <patternFill patternType="solid">
        <fgColor rgb="FFFFD965"/>
        <bgColor rgb="FFFFD965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FFF7DD"/>
        <bgColor indexed="64"/>
      </patternFill>
    </fill>
    <fill>
      <patternFill patternType="solid">
        <fgColor rgb="FFFFF7DD"/>
        <bgColor theme="0"/>
      </patternFill>
    </fill>
    <fill>
      <patternFill patternType="solid">
        <fgColor rgb="FFE2FEBC"/>
        <bgColor rgb="FFFFF2CB"/>
      </patternFill>
    </fill>
    <fill>
      <patternFill patternType="solid">
        <fgColor rgb="FFE2FEB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9" tint="0.59999389629810485"/>
        <bgColor theme="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9" fontId="3" fillId="4" borderId="2" xfId="0" applyNumberFormat="1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 wrapText="1"/>
    </xf>
    <xf numFmtId="165" fontId="3" fillId="4" borderId="3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164" fontId="3" fillId="5" borderId="2" xfId="0" applyNumberFormat="1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 wrapText="1"/>
    </xf>
    <xf numFmtId="164" fontId="3" fillId="6" borderId="2" xfId="0" applyNumberFormat="1" applyFont="1" applyFill="1" applyBorder="1" applyAlignment="1">
      <alignment horizontal="center" vertical="center" wrapText="1"/>
    </xf>
    <xf numFmtId="164" fontId="3" fillId="6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165" fontId="3" fillId="6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3" xfId="0" applyFont="1" applyFill="1" applyBorder="1"/>
    <xf numFmtId="164" fontId="6" fillId="3" borderId="2" xfId="0" applyNumberFormat="1" applyFont="1" applyFill="1" applyBorder="1"/>
    <xf numFmtId="164" fontId="6" fillId="4" borderId="2" xfId="0" applyNumberFormat="1" applyFont="1" applyFill="1" applyBorder="1"/>
    <xf numFmtId="9" fontId="6" fillId="4" borderId="2" xfId="0" applyNumberFormat="1" applyFont="1" applyFill="1" applyBorder="1"/>
    <xf numFmtId="164" fontId="5" fillId="4" borderId="2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65" fontId="3" fillId="6" borderId="2" xfId="0" applyNumberFormat="1" applyFont="1" applyFill="1" applyBorder="1" applyAlignment="1">
      <alignment horizontal="center" vertical="center"/>
    </xf>
    <xf numFmtId="0" fontId="5" fillId="0" borderId="0" xfId="0" applyFont="1"/>
    <xf numFmtId="0" fontId="7" fillId="6" borderId="2" xfId="0" applyFont="1" applyFill="1" applyBorder="1" applyAlignment="1">
      <alignment horizontal="center" vertical="center"/>
    </xf>
    <xf numFmtId="20" fontId="5" fillId="6" borderId="2" xfId="0" applyNumberFormat="1" applyFont="1" applyFill="1" applyBorder="1" applyAlignment="1">
      <alignment horizontal="center" vertical="center"/>
    </xf>
    <xf numFmtId="165" fontId="8" fillId="6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/>
    <xf numFmtId="164" fontId="9" fillId="3" borderId="2" xfId="0" applyNumberFormat="1" applyFont="1" applyFill="1" applyBorder="1"/>
    <xf numFmtId="164" fontId="5" fillId="3" borderId="2" xfId="0" applyNumberFormat="1" applyFont="1" applyFill="1" applyBorder="1" applyAlignment="1">
      <alignment horizontal="center" vertical="center"/>
    </xf>
    <xf numFmtId="164" fontId="6" fillId="4" borderId="4" xfId="0" applyNumberFormat="1" applyFont="1" applyFill="1" applyBorder="1"/>
    <xf numFmtId="9" fontId="6" fillId="4" borderId="4" xfId="0" applyNumberFormat="1" applyFont="1" applyFill="1" applyBorder="1"/>
    <xf numFmtId="0" fontId="5" fillId="4" borderId="2" xfId="0" applyFont="1" applyFill="1" applyBorder="1"/>
    <xf numFmtId="0" fontId="5" fillId="3" borderId="2" xfId="0" applyFont="1" applyFill="1" applyBorder="1"/>
    <xf numFmtId="0" fontId="5" fillId="0" borderId="2" xfId="0" applyFont="1" applyBorder="1"/>
    <xf numFmtId="0" fontId="5" fillId="6" borderId="2" xfId="0" applyFont="1" applyFill="1" applyBorder="1"/>
    <xf numFmtId="165" fontId="5" fillId="6" borderId="2" xfId="0" applyNumberFormat="1" applyFont="1" applyFill="1" applyBorder="1"/>
    <xf numFmtId="165" fontId="5" fillId="0" borderId="0" xfId="0" applyNumberFormat="1" applyFont="1"/>
    <xf numFmtId="49" fontId="5" fillId="0" borderId="0" xfId="0" applyNumberFormat="1" applyFont="1"/>
    <xf numFmtId="46" fontId="5" fillId="0" borderId="0" xfId="0" applyNumberFormat="1" applyFont="1"/>
    <xf numFmtId="0" fontId="6" fillId="9" borderId="2" xfId="0" applyFont="1" applyFill="1" applyBorder="1"/>
    <xf numFmtId="164" fontId="6" fillId="9" borderId="2" xfId="0" applyNumberFormat="1" applyFont="1" applyFill="1" applyBorder="1"/>
    <xf numFmtId="10" fontId="6" fillId="9" borderId="2" xfId="0" applyNumberFormat="1" applyFont="1" applyFill="1" applyBorder="1"/>
    <xf numFmtId="164" fontId="5" fillId="8" borderId="2" xfId="0" applyNumberFormat="1" applyFont="1" applyFill="1" applyBorder="1"/>
    <xf numFmtId="0" fontId="5" fillId="9" borderId="2" xfId="0" applyFont="1" applyFill="1" applyBorder="1"/>
    <xf numFmtId="164" fontId="5" fillId="9" borderId="2" xfId="0" applyNumberFormat="1" applyFont="1" applyFill="1" applyBorder="1"/>
    <xf numFmtId="0" fontId="3" fillId="10" borderId="2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14" fontId="4" fillId="12" borderId="4" xfId="0" applyNumberFormat="1" applyFont="1" applyFill="1" applyBorder="1" applyAlignment="1">
      <alignment horizontal="center" vertical="center"/>
    </xf>
    <xf numFmtId="14" fontId="3" fillId="12" borderId="2" xfId="0" applyNumberFormat="1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/>
    </xf>
    <xf numFmtId="10" fontId="3" fillId="11" borderId="2" xfId="0" applyNumberFormat="1" applyFont="1" applyFill="1" applyBorder="1" applyAlignment="1">
      <alignment horizontal="center" vertical="center"/>
    </xf>
    <xf numFmtId="166" fontId="3" fillId="11" borderId="2" xfId="0" applyNumberFormat="1" applyFont="1" applyFill="1" applyBorder="1" applyAlignment="1">
      <alignment horizontal="center" vertical="center"/>
    </xf>
    <xf numFmtId="164" fontId="3" fillId="11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6" fillId="9" borderId="6" xfId="0" applyNumberFormat="1" applyFont="1" applyFill="1" applyBorder="1" applyAlignment="1">
      <alignment horizontal="center"/>
    </xf>
    <xf numFmtId="0" fontId="0" fillId="8" borderId="1" xfId="0" applyFill="1" applyBorder="1"/>
    <xf numFmtId="14" fontId="5" fillId="13" borderId="6" xfId="0" applyNumberFormat="1" applyFont="1" applyFill="1" applyBorder="1" applyAlignment="1">
      <alignment horizontal="left"/>
    </xf>
    <xf numFmtId="14" fontId="5" fillId="12" borderId="1" xfId="0" applyNumberFormat="1" applyFont="1" applyFill="1" applyBorder="1" applyAlignment="1">
      <alignment horizontal="right"/>
    </xf>
    <xf numFmtId="14" fontId="6" fillId="14" borderId="3" xfId="0" applyNumberFormat="1" applyFont="1" applyFill="1" applyBorder="1" applyAlignment="1">
      <alignment horizontal="left"/>
    </xf>
    <xf numFmtId="14" fontId="6" fillId="14" borderId="2" xfId="0" applyNumberFormat="1" applyFont="1" applyFill="1" applyBorder="1" applyAlignment="1">
      <alignment horizontal="left"/>
    </xf>
    <xf numFmtId="0" fontId="1" fillId="0" borderId="0" xfId="0" applyFont="1"/>
    <xf numFmtId="0" fontId="3" fillId="6" borderId="5" xfId="0" applyFont="1" applyFill="1" applyBorder="1"/>
    <xf numFmtId="0" fontId="5" fillId="6" borderId="1" xfId="0" applyFont="1" applyFill="1" applyBorder="1"/>
    <xf numFmtId="165" fontId="5" fillId="6" borderId="1" xfId="0" applyNumberFormat="1" applyFont="1" applyFill="1" applyBorder="1"/>
    <xf numFmtId="20" fontId="5" fillId="6" borderId="1" xfId="0" applyNumberFormat="1" applyFont="1" applyFill="1" applyBorder="1"/>
    <xf numFmtId="165" fontId="5" fillId="7" borderId="1" xfId="0" applyNumberFormat="1" applyFont="1" applyFill="1" applyBorder="1"/>
    <xf numFmtId="164" fontId="5" fillId="11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L997"/>
  <sheetViews>
    <sheetView tabSelected="1" zoomScale="115" zoomScaleNormal="115" workbookViewId="0">
      <selection activeCell="T5" sqref="T5"/>
    </sheetView>
  </sheetViews>
  <sheetFormatPr defaultColWidth="14.42578125" defaultRowHeight="15" x14ac:dyDescent="0.25"/>
  <cols>
    <col min="1" max="1" width="10.7109375" customWidth="1"/>
    <col min="2" max="2" width="39.28515625" customWidth="1"/>
    <col min="3" max="3" width="15.28515625" hidden="1" customWidth="1"/>
    <col min="4" max="4" width="16.28515625" hidden="1" customWidth="1"/>
    <col min="5" max="5" width="13.28515625" style="66" hidden="1" customWidth="1"/>
    <col min="6" max="6" width="12.42578125" hidden="1" customWidth="1"/>
    <col min="7" max="7" width="24.28515625" hidden="1" customWidth="1"/>
    <col min="8" max="8" width="20" hidden="1" customWidth="1"/>
    <col min="9" max="9" width="31" hidden="1" customWidth="1"/>
    <col min="10" max="10" width="19.5703125" hidden="1" customWidth="1"/>
    <col min="11" max="12" width="14.140625" hidden="1" customWidth="1"/>
    <col min="13" max="13" width="13.5703125" hidden="1" customWidth="1"/>
    <col min="14" max="14" width="16.7109375" hidden="1" customWidth="1"/>
    <col min="15" max="15" width="9.140625" hidden="1" customWidth="1"/>
    <col min="16" max="16" width="16.7109375" customWidth="1"/>
    <col min="17" max="17" width="14.140625" customWidth="1"/>
    <col min="18" max="18" width="13.140625" customWidth="1"/>
    <col min="19" max="19" width="13" hidden="1" customWidth="1"/>
    <col min="20" max="20" width="14" customWidth="1"/>
    <col min="21" max="21" width="18.5703125" customWidth="1"/>
    <col min="22" max="22" width="23" customWidth="1"/>
    <col min="23" max="29" width="8.85546875" hidden="1" customWidth="1"/>
    <col min="30" max="30" width="10.140625" hidden="1" customWidth="1"/>
    <col min="31" max="31" width="12" customWidth="1"/>
    <col min="32" max="32" width="12.7109375" customWidth="1"/>
    <col min="33" max="33" width="10.5703125" hidden="1" customWidth="1"/>
    <col min="34" max="34" width="12.140625" customWidth="1"/>
    <col min="35" max="35" width="11.5703125" customWidth="1"/>
    <col min="37" max="38" width="8.7109375" customWidth="1"/>
  </cols>
  <sheetData>
    <row r="4" spans="1:38" s="59" customFormat="1" ht="63.75" customHeight="1" x14ac:dyDescent="0.25">
      <c r="A4" s="49" t="s">
        <v>0</v>
      </c>
      <c r="B4" s="49" t="s">
        <v>1</v>
      </c>
      <c r="C4" s="50" t="s">
        <v>2</v>
      </c>
      <c r="D4" s="51" t="s">
        <v>3</v>
      </c>
      <c r="E4" s="52" t="s">
        <v>4</v>
      </c>
      <c r="F4" s="53" t="s">
        <v>5</v>
      </c>
      <c r="G4" s="54" t="s">
        <v>6</v>
      </c>
      <c r="H4" s="54" t="s">
        <v>7</v>
      </c>
      <c r="I4" s="55" t="s">
        <v>8</v>
      </c>
      <c r="J4" s="55" t="s">
        <v>9</v>
      </c>
      <c r="K4" s="72"/>
      <c r="L4" s="56" t="s">
        <v>10</v>
      </c>
      <c r="M4" s="57" t="s">
        <v>11</v>
      </c>
      <c r="N4" s="58" t="s">
        <v>12</v>
      </c>
      <c r="O4" s="1" t="s">
        <v>13</v>
      </c>
      <c r="P4" s="2" t="s">
        <v>12</v>
      </c>
      <c r="Q4" s="3" t="s">
        <v>14</v>
      </c>
      <c r="R4" s="2" t="s">
        <v>15</v>
      </c>
      <c r="S4" s="4" t="s">
        <v>16</v>
      </c>
      <c r="T4" s="5" t="s">
        <v>17</v>
      </c>
      <c r="U4" s="5" t="s">
        <v>18</v>
      </c>
      <c r="V4" s="6" t="s">
        <v>19</v>
      </c>
      <c r="W4" s="4" t="s">
        <v>20</v>
      </c>
      <c r="X4" s="4" t="s">
        <v>21</v>
      </c>
      <c r="Y4" s="4" t="s">
        <v>22</v>
      </c>
      <c r="Z4" s="7" t="s">
        <v>11</v>
      </c>
      <c r="AA4" s="8" t="s">
        <v>23</v>
      </c>
      <c r="AB4" s="8" t="s">
        <v>24</v>
      </c>
      <c r="AC4" s="8" t="s">
        <v>25</v>
      </c>
      <c r="AD4" s="9" t="s">
        <v>20</v>
      </c>
      <c r="AE4" s="10" t="s">
        <v>26</v>
      </c>
      <c r="AF4" s="11" t="s">
        <v>27</v>
      </c>
      <c r="AG4" s="11" t="s">
        <v>28</v>
      </c>
      <c r="AH4" s="12" t="s">
        <v>29</v>
      </c>
      <c r="AI4" s="13" t="s">
        <v>30</v>
      </c>
    </row>
    <row r="5" spans="1:38" ht="15.75" customHeight="1" x14ac:dyDescent="0.25">
      <c r="A5" s="14">
        <v>1126</v>
      </c>
      <c r="B5" s="15" t="s">
        <v>277</v>
      </c>
      <c r="C5" s="60">
        <v>36411</v>
      </c>
      <c r="D5" s="61" t="s">
        <v>31</v>
      </c>
      <c r="E5" s="62"/>
      <c r="F5" s="63">
        <v>45810</v>
      </c>
      <c r="G5" s="64">
        <f t="shared" ref="G5:G12" si="0">F5+44</f>
        <v>45854</v>
      </c>
      <c r="H5" s="65">
        <f t="shared" ref="H5:H12" si="1">G5+45</f>
        <v>45899</v>
      </c>
      <c r="I5" s="43" t="s">
        <v>32</v>
      </c>
      <c r="J5" s="43" t="s">
        <v>33</v>
      </c>
      <c r="K5" s="44">
        <v>2158</v>
      </c>
      <c r="L5" s="45">
        <v>5.1999999999999998E-2</v>
      </c>
      <c r="M5" s="44">
        <f>K5*L5</f>
        <v>112.21599999999999</v>
      </c>
      <c r="N5" s="44">
        <v>3361.45</v>
      </c>
      <c r="O5" s="16"/>
      <c r="P5" s="17">
        <v>2270.2159999999999</v>
      </c>
      <c r="Q5" s="18"/>
      <c r="R5" s="19">
        <f t="shared" ref="R5:R44" si="2">P5*Q5</f>
        <v>0</v>
      </c>
      <c r="S5" s="19"/>
      <c r="T5" s="20"/>
      <c r="U5" s="20"/>
      <c r="V5" s="21"/>
      <c r="W5" s="19"/>
      <c r="X5" s="19"/>
      <c r="Y5" s="19"/>
      <c r="Z5" s="7"/>
      <c r="AA5" s="22"/>
      <c r="AB5" s="22"/>
      <c r="AC5" s="22"/>
      <c r="AD5" s="22"/>
      <c r="AE5" s="23"/>
      <c r="AF5" s="23"/>
      <c r="AG5" s="11"/>
      <c r="AH5" s="24"/>
      <c r="AI5" s="25"/>
      <c r="AK5" s="26" t="s">
        <v>34</v>
      </c>
      <c r="AL5" s="26" t="s">
        <v>34</v>
      </c>
    </row>
    <row r="6" spans="1:38" ht="15.75" customHeight="1" x14ac:dyDescent="0.25">
      <c r="A6" s="14">
        <v>1174</v>
      </c>
      <c r="B6" s="15" t="s">
        <v>35</v>
      </c>
      <c r="C6" s="60">
        <v>26529</v>
      </c>
      <c r="D6" s="61" t="s">
        <v>36</v>
      </c>
      <c r="E6" s="62"/>
      <c r="F6" s="63">
        <v>45912</v>
      </c>
      <c r="G6" s="64">
        <f t="shared" si="0"/>
        <v>45956</v>
      </c>
      <c r="H6" s="65">
        <f t="shared" si="1"/>
        <v>46001</v>
      </c>
      <c r="I6" s="43" t="s">
        <v>37</v>
      </c>
      <c r="J6" s="43" t="s">
        <v>38</v>
      </c>
      <c r="K6" s="44">
        <v>2158</v>
      </c>
      <c r="L6" s="45">
        <v>5.1999999999999998E-2</v>
      </c>
      <c r="M6" s="44">
        <f>K6*L6</f>
        <v>112.21599999999999</v>
      </c>
      <c r="N6" s="44">
        <v>2270.2199999999998</v>
      </c>
      <c r="O6" s="16"/>
      <c r="P6" s="17">
        <v>2270.2159999999999</v>
      </c>
      <c r="Q6" s="18"/>
      <c r="R6" s="19">
        <f t="shared" si="2"/>
        <v>0</v>
      </c>
      <c r="S6" s="19"/>
      <c r="T6" s="20"/>
      <c r="U6" s="20"/>
      <c r="V6" s="21"/>
      <c r="W6" s="19"/>
      <c r="X6" s="19"/>
      <c r="Y6" s="19"/>
      <c r="Z6" s="7"/>
      <c r="AA6" s="22"/>
      <c r="AB6" s="22"/>
      <c r="AC6" s="22"/>
      <c r="AD6" s="22"/>
      <c r="AE6" s="23"/>
      <c r="AF6" s="23"/>
      <c r="AG6" s="11"/>
      <c r="AH6" s="24"/>
      <c r="AI6" s="25"/>
    </row>
    <row r="7" spans="1:38" ht="15.75" customHeight="1" x14ac:dyDescent="0.25">
      <c r="A7" s="14">
        <v>1271</v>
      </c>
      <c r="B7" s="15" t="s">
        <v>278</v>
      </c>
      <c r="C7" s="60">
        <v>35750</v>
      </c>
      <c r="D7" s="61" t="s">
        <v>39</v>
      </c>
      <c r="E7" s="62"/>
      <c r="F7" s="63">
        <v>46195</v>
      </c>
      <c r="G7" s="64">
        <f t="shared" si="0"/>
        <v>46239</v>
      </c>
      <c r="H7" s="65">
        <f t="shared" si="1"/>
        <v>46284</v>
      </c>
      <c r="I7" s="43" t="s">
        <v>37</v>
      </c>
      <c r="J7" s="43" t="s">
        <v>40</v>
      </c>
      <c r="K7" s="44">
        <v>2158</v>
      </c>
      <c r="L7" s="45">
        <v>5.1999999999999998E-2</v>
      </c>
      <c r="M7" s="44">
        <f>K7*L7</f>
        <v>112.21599999999999</v>
      </c>
      <c r="N7" s="44">
        <v>2270.2199999999998</v>
      </c>
      <c r="O7" s="16"/>
      <c r="P7" s="17">
        <v>2270.2159999999999</v>
      </c>
      <c r="Q7" s="18"/>
      <c r="R7" s="19">
        <f t="shared" si="2"/>
        <v>0</v>
      </c>
      <c r="S7" s="19"/>
      <c r="T7" s="20"/>
      <c r="U7" s="20"/>
      <c r="V7" s="21"/>
      <c r="W7" s="19"/>
      <c r="X7" s="19"/>
      <c r="Y7" s="19"/>
      <c r="Z7" s="7"/>
      <c r="AA7" s="22"/>
      <c r="AB7" s="22"/>
      <c r="AC7" s="22"/>
      <c r="AD7" s="22"/>
      <c r="AE7" s="23"/>
      <c r="AF7" s="23"/>
      <c r="AG7" s="11"/>
      <c r="AH7" s="24"/>
      <c r="AI7" s="25"/>
    </row>
    <row r="8" spans="1:38" ht="15.75" customHeight="1" x14ac:dyDescent="0.25">
      <c r="A8" s="14">
        <v>1204</v>
      </c>
      <c r="B8" s="15" t="s">
        <v>41</v>
      </c>
      <c r="C8" s="60">
        <v>35185</v>
      </c>
      <c r="D8" s="61" t="s">
        <v>42</v>
      </c>
      <c r="E8" s="62"/>
      <c r="F8" s="63">
        <v>46001</v>
      </c>
      <c r="G8" s="64">
        <f t="shared" si="0"/>
        <v>46045</v>
      </c>
      <c r="H8" s="65">
        <f t="shared" si="1"/>
        <v>46090</v>
      </c>
      <c r="I8" s="43" t="s">
        <v>37</v>
      </c>
      <c r="J8" s="43" t="s">
        <v>43</v>
      </c>
      <c r="K8" s="44">
        <v>2158</v>
      </c>
      <c r="L8" s="45">
        <v>5.1999999999999998E-2</v>
      </c>
      <c r="M8" s="44">
        <f>K8*L8</f>
        <v>112.21599999999999</v>
      </c>
      <c r="N8" s="44">
        <v>2270.2199999999998</v>
      </c>
      <c r="O8" s="16"/>
      <c r="P8" s="17">
        <v>2270.2159999999999</v>
      </c>
      <c r="Q8" s="18"/>
      <c r="R8" s="19">
        <f t="shared" si="2"/>
        <v>0</v>
      </c>
      <c r="S8" s="19"/>
      <c r="T8" s="20"/>
      <c r="U8" s="20"/>
      <c r="V8" s="21"/>
      <c r="W8" s="19"/>
      <c r="X8" s="19"/>
      <c r="Y8" s="19"/>
      <c r="Z8" s="7"/>
      <c r="AA8" s="22"/>
      <c r="AB8" s="22"/>
      <c r="AC8" s="22"/>
      <c r="AD8" s="22"/>
      <c r="AE8" s="23"/>
      <c r="AF8" s="23"/>
      <c r="AG8" s="11"/>
      <c r="AH8" s="24"/>
      <c r="AI8" s="25"/>
    </row>
    <row r="9" spans="1:38" ht="15.75" customHeight="1" x14ac:dyDescent="0.25">
      <c r="A9" s="14">
        <v>1279</v>
      </c>
      <c r="B9" s="15" t="s">
        <v>273</v>
      </c>
      <c r="C9" s="60">
        <v>38925</v>
      </c>
      <c r="D9" s="61" t="s">
        <v>44</v>
      </c>
      <c r="E9" s="62"/>
      <c r="F9" s="63">
        <v>46181</v>
      </c>
      <c r="G9" s="64">
        <f t="shared" si="0"/>
        <v>46225</v>
      </c>
      <c r="H9" s="65">
        <f t="shared" si="1"/>
        <v>46270</v>
      </c>
      <c r="I9" s="43" t="s">
        <v>37</v>
      </c>
      <c r="J9" s="43" t="s">
        <v>43</v>
      </c>
      <c r="K9" s="44">
        <v>2158</v>
      </c>
      <c r="L9" s="44">
        <v>2158</v>
      </c>
      <c r="M9" s="44">
        <v>2158</v>
      </c>
      <c r="N9" s="44">
        <v>2270.2199999999998</v>
      </c>
      <c r="O9" s="16"/>
      <c r="P9" s="17">
        <v>2270.2159999999999</v>
      </c>
      <c r="Q9" s="18"/>
      <c r="R9" s="19">
        <f t="shared" si="2"/>
        <v>0</v>
      </c>
      <c r="S9" s="19"/>
      <c r="T9" s="20"/>
      <c r="U9" s="20"/>
      <c r="V9" s="21"/>
      <c r="W9" s="19"/>
      <c r="X9" s="19"/>
      <c r="Y9" s="19"/>
      <c r="Z9" s="7"/>
      <c r="AA9" s="22"/>
      <c r="AB9" s="22"/>
      <c r="AC9" s="22"/>
      <c r="AD9" s="22"/>
      <c r="AE9" s="23"/>
      <c r="AF9" s="23"/>
      <c r="AG9" s="11"/>
      <c r="AH9" s="24"/>
      <c r="AI9" s="25"/>
    </row>
    <row r="10" spans="1:38" ht="15.75" customHeight="1" x14ac:dyDescent="0.25">
      <c r="A10" s="14">
        <v>1021</v>
      </c>
      <c r="B10" s="15" t="s">
        <v>45</v>
      </c>
      <c r="C10" s="60">
        <v>33684</v>
      </c>
      <c r="D10" s="61" t="s">
        <v>46</v>
      </c>
      <c r="E10" s="62">
        <v>44774</v>
      </c>
      <c r="F10" s="63">
        <v>45219</v>
      </c>
      <c r="G10" s="64">
        <f t="shared" si="0"/>
        <v>45263</v>
      </c>
      <c r="H10" s="65">
        <f t="shared" si="1"/>
        <v>45308</v>
      </c>
      <c r="I10" s="43" t="s">
        <v>37</v>
      </c>
      <c r="J10" s="43" t="s">
        <v>33</v>
      </c>
      <c r="K10" s="44">
        <v>2158</v>
      </c>
      <c r="L10" s="45">
        <v>5.1999999999999998E-2</v>
      </c>
      <c r="M10" s="44">
        <f>K10*L10</f>
        <v>112.21599999999999</v>
      </c>
      <c r="N10" s="44">
        <v>2270.2199999999998</v>
      </c>
      <c r="O10" s="16"/>
      <c r="P10" s="17">
        <v>2270.2159999999999</v>
      </c>
      <c r="Q10" s="18">
        <v>0.05</v>
      </c>
      <c r="R10" s="19">
        <f t="shared" si="2"/>
        <v>113.5108</v>
      </c>
      <c r="S10" s="19"/>
      <c r="T10" s="20"/>
      <c r="U10" s="20"/>
      <c r="V10" s="21"/>
      <c r="W10" s="19"/>
      <c r="X10" s="19"/>
      <c r="Y10" s="19"/>
      <c r="Z10" s="7"/>
      <c r="AA10" s="22"/>
      <c r="AB10" s="22"/>
      <c r="AC10" s="22"/>
      <c r="AD10" s="22"/>
      <c r="AE10" s="23"/>
      <c r="AF10" s="23"/>
      <c r="AG10" s="11"/>
      <c r="AH10" s="24"/>
      <c r="AI10" s="25"/>
    </row>
    <row r="11" spans="1:38" ht="15.75" customHeight="1" x14ac:dyDescent="0.25">
      <c r="A11" s="14">
        <v>1143</v>
      </c>
      <c r="B11" s="15" t="s">
        <v>47</v>
      </c>
      <c r="C11" s="60">
        <v>38645</v>
      </c>
      <c r="D11" s="61" t="s">
        <v>48</v>
      </c>
      <c r="E11" s="62"/>
      <c r="F11" s="63">
        <v>45853</v>
      </c>
      <c r="G11" s="64">
        <f t="shared" si="0"/>
        <v>45897</v>
      </c>
      <c r="H11" s="65">
        <f t="shared" si="1"/>
        <v>45942</v>
      </c>
      <c r="I11" s="43" t="s">
        <v>37</v>
      </c>
      <c r="J11" s="43" t="s">
        <v>49</v>
      </c>
      <c r="K11" s="44">
        <v>2158</v>
      </c>
      <c r="L11" s="45">
        <v>5.1999999999999998E-2</v>
      </c>
      <c r="M11" s="44">
        <f>K11*L11</f>
        <v>112.21599999999999</v>
      </c>
      <c r="N11" s="44">
        <v>2270.2199999999998</v>
      </c>
      <c r="O11" s="16"/>
      <c r="P11" s="17">
        <v>2270.2159999999999</v>
      </c>
      <c r="Q11" s="18"/>
      <c r="R11" s="19">
        <f t="shared" si="2"/>
        <v>0</v>
      </c>
      <c r="S11" s="19"/>
      <c r="T11" s="20"/>
      <c r="U11" s="20"/>
      <c r="V11" s="21"/>
      <c r="W11" s="19"/>
      <c r="X11" s="19"/>
      <c r="Y11" s="19"/>
      <c r="Z11" s="7"/>
      <c r="AA11" s="22"/>
      <c r="AB11" s="22"/>
      <c r="AC11" s="22"/>
      <c r="AD11" s="22"/>
      <c r="AE11" s="23"/>
      <c r="AF11" s="23"/>
      <c r="AG11" s="11"/>
      <c r="AH11" s="24"/>
      <c r="AI11" s="25"/>
    </row>
    <row r="12" spans="1:38" ht="15.75" customHeight="1" x14ac:dyDescent="0.25">
      <c r="A12" s="14">
        <v>1268</v>
      </c>
      <c r="B12" s="15" t="s">
        <v>50</v>
      </c>
      <c r="C12" s="60">
        <v>35416</v>
      </c>
      <c r="D12" s="61" t="s">
        <v>51</v>
      </c>
      <c r="E12" s="62"/>
      <c r="F12" s="63">
        <v>46157</v>
      </c>
      <c r="G12" s="64">
        <f t="shared" si="0"/>
        <v>46201</v>
      </c>
      <c r="H12" s="65">
        <f t="shared" si="1"/>
        <v>46246</v>
      </c>
      <c r="I12" s="43" t="s">
        <v>37</v>
      </c>
      <c r="J12" s="43" t="s">
        <v>52</v>
      </c>
      <c r="K12" s="44">
        <v>2158</v>
      </c>
      <c r="L12" s="45">
        <v>5.1999999999999998E-2</v>
      </c>
      <c r="M12" s="44">
        <f>K12*L12</f>
        <v>112.21599999999999</v>
      </c>
      <c r="N12" s="44">
        <v>2270.2199999999998</v>
      </c>
      <c r="O12" s="16"/>
      <c r="P12" s="17">
        <v>2270.2159999999999</v>
      </c>
      <c r="Q12" s="18"/>
      <c r="R12" s="19">
        <f t="shared" si="2"/>
        <v>0</v>
      </c>
      <c r="S12" s="19"/>
      <c r="T12" s="20"/>
      <c r="U12" s="20"/>
      <c r="V12" s="21"/>
      <c r="W12" s="19"/>
      <c r="X12" s="19"/>
      <c r="Y12" s="19"/>
      <c r="Z12" s="7"/>
      <c r="AA12" s="22"/>
      <c r="AB12" s="22"/>
      <c r="AC12" s="22"/>
      <c r="AD12" s="22"/>
      <c r="AE12" s="23"/>
      <c r="AF12" s="23"/>
      <c r="AG12" s="11"/>
      <c r="AH12" s="24"/>
      <c r="AI12" s="25"/>
    </row>
    <row r="13" spans="1:38" ht="15.75" customHeight="1" x14ac:dyDescent="0.25">
      <c r="A13" s="14"/>
      <c r="B13" s="15" t="s">
        <v>287</v>
      </c>
      <c r="C13" s="60"/>
      <c r="D13" s="61"/>
      <c r="E13" s="62"/>
      <c r="F13" s="63"/>
      <c r="G13" s="64"/>
      <c r="H13" s="65"/>
      <c r="I13" s="43"/>
      <c r="J13" s="43"/>
      <c r="K13" s="44"/>
      <c r="L13" s="45"/>
      <c r="M13" s="44"/>
      <c r="N13" s="44"/>
      <c r="O13" s="16"/>
      <c r="P13" s="17">
        <v>2270.2159999999999</v>
      </c>
      <c r="Q13" s="18"/>
      <c r="R13" s="19">
        <f t="shared" si="2"/>
        <v>0</v>
      </c>
      <c r="S13" s="19"/>
      <c r="T13" s="20"/>
      <c r="U13" s="20"/>
      <c r="V13" s="21"/>
      <c r="W13" s="19"/>
      <c r="X13" s="19"/>
      <c r="Y13" s="19"/>
      <c r="Z13" s="7"/>
      <c r="AA13" s="22"/>
      <c r="AB13" s="22"/>
      <c r="AC13" s="22"/>
      <c r="AD13" s="22"/>
      <c r="AE13" s="10"/>
      <c r="AF13" s="23"/>
      <c r="AG13" s="11"/>
      <c r="AH13" s="28"/>
      <c r="AI13" s="25"/>
    </row>
    <row r="14" spans="1:38" ht="15.75" customHeight="1" x14ac:dyDescent="0.25">
      <c r="A14" s="14">
        <v>1280</v>
      </c>
      <c r="B14" s="15" t="s">
        <v>275</v>
      </c>
      <c r="C14" s="60">
        <v>32302</v>
      </c>
      <c r="D14" s="61" t="s">
        <v>53</v>
      </c>
      <c r="E14" s="62"/>
      <c r="F14" s="63">
        <v>46174</v>
      </c>
      <c r="G14" s="64">
        <f t="shared" ref="G14:G44" si="3">F14+44</f>
        <v>46218</v>
      </c>
      <c r="H14" s="65">
        <f t="shared" ref="H14:H44" si="4">G14+45</f>
        <v>46263</v>
      </c>
      <c r="I14" s="43" t="s">
        <v>37</v>
      </c>
      <c r="J14" s="43" t="s">
        <v>43</v>
      </c>
      <c r="K14" s="46">
        <v>2158</v>
      </c>
      <c r="L14" s="45">
        <v>5.1999999999999998E-2</v>
      </c>
      <c r="M14" s="44">
        <f t="shared" ref="M14:M29" si="5">K14*L14</f>
        <v>112.21599999999999</v>
      </c>
      <c r="N14" s="44">
        <v>2270.2199999999998</v>
      </c>
      <c r="O14" s="16"/>
      <c r="P14" s="17">
        <v>2270.2159999999999</v>
      </c>
      <c r="Q14" s="18"/>
      <c r="R14" s="19">
        <f t="shared" si="2"/>
        <v>0</v>
      </c>
      <c r="S14" s="19"/>
      <c r="T14" s="20"/>
      <c r="U14" s="20"/>
      <c r="V14" s="21"/>
      <c r="W14" s="19"/>
      <c r="X14" s="19"/>
      <c r="Y14" s="19"/>
      <c r="Z14" s="7"/>
      <c r="AA14" s="22"/>
      <c r="AB14" s="22"/>
      <c r="AC14" s="22"/>
      <c r="AD14" s="22"/>
      <c r="AE14" s="10"/>
      <c r="AF14" s="23"/>
      <c r="AG14" s="11"/>
      <c r="AH14" s="27"/>
      <c r="AI14" s="25"/>
    </row>
    <row r="15" spans="1:38" ht="15" customHeight="1" x14ac:dyDescent="0.25">
      <c r="A15" s="14">
        <v>1165</v>
      </c>
      <c r="B15" s="15" t="s">
        <v>56</v>
      </c>
      <c r="C15" s="60">
        <v>34139</v>
      </c>
      <c r="D15" s="61" t="s">
        <v>57</v>
      </c>
      <c r="E15" s="62"/>
      <c r="F15" s="63">
        <v>45873</v>
      </c>
      <c r="G15" s="64">
        <f t="shared" si="3"/>
        <v>45917</v>
      </c>
      <c r="H15" s="65">
        <f t="shared" si="4"/>
        <v>45962</v>
      </c>
      <c r="I15" s="43" t="s">
        <v>37</v>
      </c>
      <c r="J15" s="43" t="s">
        <v>43</v>
      </c>
      <c r="K15" s="44">
        <v>2158</v>
      </c>
      <c r="L15" s="45">
        <v>5.1999999999999998E-2</v>
      </c>
      <c r="M15" s="44">
        <f t="shared" si="5"/>
        <v>112.21599999999999</v>
      </c>
      <c r="N15" s="44">
        <v>2270.2199999999998</v>
      </c>
      <c r="O15" s="16"/>
      <c r="P15" s="17">
        <v>2270.2159999999999</v>
      </c>
      <c r="Q15" s="18"/>
      <c r="R15" s="19">
        <f t="shared" si="2"/>
        <v>0</v>
      </c>
      <c r="S15" s="19"/>
      <c r="T15" s="20"/>
      <c r="U15" s="20"/>
      <c r="V15" s="21"/>
      <c r="W15" s="19"/>
      <c r="X15" s="19"/>
      <c r="Y15" s="19"/>
      <c r="Z15" s="7"/>
      <c r="AA15" s="22"/>
      <c r="AB15" s="22"/>
      <c r="AC15" s="22"/>
      <c r="AD15" s="22"/>
      <c r="AE15" s="10"/>
      <c r="AF15" s="23"/>
      <c r="AG15" s="11"/>
      <c r="AH15" s="24"/>
      <c r="AI15" s="25"/>
    </row>
    <row r="16" spans="1:38" ht="15.75" customHeight="1" x14ac:dyDescent="0.25">
      <c r="A16" s="14">
        <v>1227</v>
      </c>
      <c r="B16" s="15" t="s">
        <v>54</v>
      </c>
      <c r="C16" s="60">
        <v>37089</v>
      </c>
      <c r="D16" s="61" t="s">
        <v>55</v>
      </c>
      <c r="E16" s="62"/>
      <c r="F16" s="63">
        <v>46059</v>
      </c>
      <c r="G16" s="64">
        <f t="shared" si="3"/>
        <v>46103</v>
      </c>
      <c r="H16" s="65">
        <f t="shared" si="4"/>
        <v>46148</v>
      </c>
      <c r="I16" s="43" t="s">
        <v>37</v>
      </c>
      <c r="J16" s="43" t="s">
        <v>43</v>
      </c>
      <c r="K16" s="44">
        <v>2158</v>
      </c>
      <c r="L16" s="45">
        <v>5.1999999999999998E-2</v>
      </c>
      <c r="M16" s="44">
        <f t="shared" si="5"/>
        <v>112.21599999999999</v>
      </c>
      <c r="N16" s="44">
        <v>2270.2199999999998</v>
      </c>
      <c r="O16" s="16"/>
      <c r="P16" s="17">
        <v>2270.2159999999999</v>
      </c>
      <c r="Q16" s="18"/>
      <c r="R16" s="19">
        <f t="shared" si="2"/>
        <v>0</v>
      </c>
      <c r="S16" s="19"/>
      <c r="T16" s="20"/>
      <c r="U16" s="20"/>
      <c r="V16" s="21"/>
      <c r="W16" s="19"/>
      <c r="X16" s="19"/>
      <c r="Y16" s="19"/>
      <c r="Z16" s="7"/>
      <c r="AA16" s="22"/>
      <c r="AB16" s="22"/>
      <c r="AC16" s="22"/>
      <c r="AD16" s="22"/>
      <c r="AE16" s="10"/>
      <c r="AF16" s="23"/>
      <c r="AG16" s="11"/>
      <c r="AH16" s="24"/>
      <c r="AI16" s="25"/>
    </row>
    <row r="17" spans="1:35" ht="15.75" customHeight="1" x14ac:dyDescent="0.25">
      <c r="A17" s="14">
        <v>1293</v>
      </c>
      <c r="B17" s="15" t="s">
        <v>58</v>
      </c>
      <c r="C17" s="60">
        <v>36794</v>
      </c>
      <c r="D17" s="61" t="s">
        <v>59</v>
      </c>
      <c r="E17" s="62"/>
      <c r="F17" s="63">
        <v>46204</v>
      </c>
      <c r="G17" s="64">
        <f t="shared" si="3"/>
        <v>46248</v>
      </c>
      <c r="H17" s="65">
        <f t="shared" si="4"/>
        <v>46293</v>
      </c>
      <c r="I17" s="43" t="s">
        <v>37</v>
      </c>
      <c r="J17" s="43" t="s">
        <v>60</v>
      </c>
      <c r="K17" s="44">
        <v>2158</v>
      </c>
      <c r="L17" s="45">
        <v>5.1999999999999998E-2</v>
      </c>
      <c r="M17" s="44">
        <f t="shared" si="5"/>
        <v>112.21599999999999</v>
      </c>
      <c r="N17" s="44">
        <v>2270.2199999999998</v>
      </c>
      <c r="O17" s="16"/>
      <c r="P17" s="17">
        <v>2270.2159999999999</v>
      </c>
      <c r="Q17" s="18"/>
      <c r="R17" s="19">
        <f t="shared" si="2"/>
        <v>0</v>
      </c>
      <c r="S17" s="19"/>
      <c r="T17" s="20"/>
      <c r="U17" s="20"/>
      <c r="V17" s="21"/>
      <c r="W17" s="19"/>
      <c r="X17" s="19"/>
      <c r="Y17" s="19"/>
      <c r="Z17" s="7"/>
      <c r="AA17" s="22"/>
      <c r="AB17" s="22"/>
      <c r="AC17" s="22"/>
      <c r="AD17" s="22"/>
      <c r="AE17" s="10"/>
      <c r="AF17" s="23"/>
      <c r="AG17" s="11"/>
      <c r="AH17" s="24"/>
      <c r="AI17" s="25"/>
    </row>
    <row r="18" spans="1:35" ht="15.75" customHeight="1" x14ac:dyDescent="0.25">
      <c r="A18" s="14">
        <v>1075</v>
      </c>
      <c r="B18" s="15" t="s">
        <v>61</v>
      </c>
      <c r="C18" s="60">
        <v>29315</v>
      </c>
      <c r="D18" s="61" t="s">
        <v>62</v>
      </c>
      <c r="E18" s="62">
        <v>44866</v>
      </c>
      <c r="F18" s="63">
        <v>45691</v>
      </c>
      <c r="G18" s="64">
        <f t="shared" si="3"/>
        <v>45735</v>
      </c>
      <c r="H18" s="65">
        <f t="shared" si="4"/>
        <v>45780</v>
      </c>
      <c r="I18" s="43" t="s">
        <v>63</v>
      </c>
      <c r="J18" s="43" t="s">
        <v>64</v>
      </c>
      <c r="K18" s="44">
        <v>2158</v>
      </c>
      <c r="L18" s="45">
        <v>5.1999999999999998E-2</v>
      </c>
      <c r="M18" s="44">
        <f t="shared" si="5"/>
        <v>112.21599999999999</v>
      </c>
      <c r="N18" s="44">
        <v>2270.2199999999998</v>
      </c>
      <c r="O18" s="16"/>
      <c r="P18" s="17">
        <v>2270.2159999999999</v>
      </c>
      <c r="Q18" s="18"/>
      <c r="R18" s="19">
        <f t="shared" si="2"/>
        <v>0</v>
      </c>
      <c r="S18" s="19"/>
      <c r="T18" s="20"/>
      <c r="U18" s="20"/>
      <c r="V18" s="21"/>
      <c r="W18" s="19"/>
      <c r="X18" s="19"/>
      <c r="Y18" s="19"/>
      <c r="Z18" s="7"/>
      <c r="AA18" s="22"/>
      <c r="AB18" s="22"/>
      <c r="AC18" s="22"/>
      <c r="AD18" s="22"/>
      <c r="AE18" s="10"/>
      <c r="AF18" s="23"/>
      <c r="AG18" s="11"/>
      <c r="AH18" s="24"/>
      <c r="AI18" s="25"/>
    </row>
    <row r="19" spans="1:35" ht="15.75" customHeight="1" x14ac:dyDescent="0.25">
      <c r="A19" s="14">
        <v>1040</v>
      </c>
      <c r="B19" s="15" t="s">
        <v>65</v>
      </c>
      <c r="C19" s="60">
        <v>30929</v>
      </c>
      <c r="D19" s="61" t="s">
        <v>66</v>
      </c>
      <c r="E19" s="62">
        <v>44838</v>
      </c>
      <c r="F19" s="63">
        <v>45454</v>
      </c>
      <c r="G19" s="64">
        <f t="shared" si="3"/>
        <v>45498</v>
      </c>
      <c r="H19" s="65">
        <f t="shared" si="4"/>
        <v>45543</v>
      </c>
      <c r="I19" s="43" t="s">
        <v>67</v>
      </c>
      <c r="J19" s="43" t="s">
        <v>40</v>
      </c>
      <c r="K19" s="44">
        <v>5760.53</v>
      </c>
      <c r="L19" s="45">
        <v>5.1999999999999998E-2</v>
      </c>
      <c r="M19" s="44">
        <f t="shared" si="5"/>
        <v>299.54755999999998</v>
      </c>
      <c r="N19" s="44">
        <v>6060.08</v>
      </c>
      <c r="O19" s="16"/>
      <c r="P19" s="17">
        <v>6060.0775599999997</v>
      </c>
      <c r="Q19" s="18">
        <v>0.05</v>
      </c>
      <c r="R19" s="19">
        <f t="shared" si="2"/>
        <v>303.00387799999999</v>
      </c>
      <c r="S19" s="19"/>
      <c r="T19" s="20"/>
      <c r="U19" s="20"/>
      <c r="V19" s="21"/>
      <c r="W19" s="19"/>
      <c r="X19" s="19"/>
      <c r="Y19" s="19"/>
      <c r="Z19" s="7"/>
      <c r="AA19" s="22"/>
      <c r="AB19" s="22"/>
      <c r="AC19" s="22"/>
      <c r="AD19" s="22"/>
      <c r="AE19" s="10"/>
      <c r="AF19" s="23"/>
      <c r="AG19" s="11"/>
      <c r="AH19" s="24"/>
      <c r="AI19" s="25"/>
    </row>
    <row r="20" spans="1:35" ht="15.75" customHeight="1" x14ac:dyDescent="0.25">
      <c r="A20" s="14">
        <v>1134</v>
      </c>
      <c r="B20" s="15" t="s">
        <v>274</v>
      </c>
      <c r="C20" s="60">
        <v>37383</v>
      </c>
      <c r="D20" s="61" t="s">
        <v>68</v>
      </c>
      <c r="E20" s="62"/>
      <c r="F20" s="63">
        <v>45820</v>
      </c>
      <c r="G20" s="64">
        <f t="shared" si="3"/>
        <v>45864</v>
      </c>
      <c r="H20" s="65">
        <f t="shared" si="4"/>
        <v>45909</v>
      </c>
      <c r="I20" s="43" t="s">
        <v>37</v>
      </c>
      <c r="J20" s="43" t="s">
        <v>60</v>
      </c>
      <c r="K20" s="44">
        <v>2158</v>
      </c>
      <c r="L20" s="45">
        <v>5.1999999999999998E-2</v>
      </c>
      <c r="M20" s="44">
        <f t="shared" si="5"/>
        <v>112.21599999999999</v>
      </c>
      <c r="N20" s="44">
        <v>2270.2199999999998</v>
      </c>
      <c r="O20" s="16"/>
      <c r="P20" s="17">
        <v>2270.2159999999999</v>
      </c>
      <c r="Q20" s="18"/>
      <c r="R20" s="19">
        <f t="shared" si="2"/>
        <v>0</v>
      </c>
      <c r="S20" s="19"/>
      <c r="T20" s="20"/>
      <c r="U20" s="20"/>
      <c r="V20" s="21"/>
      <c r="W20" s="19"/>
      <c r="X20" s="19"/>
      <c r="Y20" s="19"/>
      <c r="Z20" s="7"/>
      <c r="AA20" s="22"/>
      <c r="AB20" s="22"/>
      <c r="AC20" s="22"/>
      <c r="AD20" s="22"/>
      <c r="AE20" s="10"/>
      <c r="AF20" s="23"/>
      <c r="AG20" s="11"/>
      <c r="AH20" s="28"/>
      <c r="AI20" s="25"/>
    </row>
    <row r="21" spans="1:35" ht="15.75" customHeight="1" x14ac:dyDescent="0.25">
      <c r="A21" s="14">
        <v>1215</v>
      </c>
      <c r="B21" s="15" t="s">
        <v>69</v>
      </c>
      <c r="C21" s="60">
        <v>34064</v>
      </c>
      <c r="D21" s="61" t="s">
        <v>70</v>
      </c>
      <c r="E21" s="62"/>
      <c r="F21" s="63">
        <v>46043</v>
      </c>
      <c r="G21" s="64">
        <f t="shared" si="3"/>
        <v>46087</v>
      </c>
      <c r="H21" s="65">
        <f t="shared" si="4"/>
        <v>46132</v>
      </c>
      <c r="I21" s="43" t="s">
        <v>37</v>
      </c>
      <c r="J21" s="43" t="s">
        <v>43</v>
      </c>
      <c r="K21" s="44">
        <v>2158</v>
      </c>
      <c r="L21" s="45">
        <v>5.1999999999999998E-2</v>
      </c>
      <c r="M21" s="44">
        <f t="shared" si="5"/>
        <v>112.21599999999999</v>
      </c>
      <c r="N21" s="44">
        <v>2270.2199999999998</v>
      </c>
      <c r="O21" s="16"/>
      <c r="P21" s="17">
        <v>2270.2159999999999</v>
      </c>
      <c r="Q21" s="18"/>
      <c r="R21" s="19">
        <f t="shared" si="2"/>
        <v>0</v>
      </c>
      <c r="S21" s="19"/>
      <c r="T21" s="20"/>
      <c r="U21" s="20"/>
      <c r="V21" s="21"/>
      <c r="W21" s="19"/>
      <c r="X21" s="19"/>
      <c r="Y21" s="19"/>
      <c r="Z21" s="7"/>
      <c r="AA21" s="22"/>
      <c r="AB21" s="22"/>
      <c r="AC21" s="22"/>
      <c r="AD21" s="22"/>
      <c r="AE21" s="10"/>
      <c r="AF21" s="23"/>
      <c r="AG21" s="11"/>
      <c r="AH21" s="28"/>
      <c r="AI21" s="25"/>
    </row>
    <row r="22" spans="1:35" ht="15.75" customHeight="1" x14ac:dyDescent="0.25">
      <c r="A22" s="14">
        <v>1254</v>
      </c>
      <c r="B22" s="15" t="s">
        <v>71</v>
      </c>
      <c r="C22" s="60">
        <v>38378</v>
      </c>
      <c r="D22" s="61" t="s">
        <v>72</v>
      </c>
      <c r="E22" s="62"/>
      <c r="F22" s="63">
        <v>46101</v>
      </c>
      <c r="G22" s="64">
        <f t="shared" si="3"/>
        <v>46145</v>
      </c>
      <c r="H22" s="65">
        <f t="shared" si="4"/>
        <v>46190</v>
      </c>
      <c r="I22" s="43" t="s">
        <v>37</v>
      </c>
      <c r="J22" s="43" t="s">
        <v>73</v>
      </c>
      <c r="K22" s="44">
        <v>2158</v>
      </c>
      <c r="L22" s="45">
        <v>5.1999999999999998E-2</v>
      </c>
      <c r="M22" s="44">
        <f t="shared" si="5"/>
        <v>112.21599999999999</v>
      </c>
      <c r="N22" s="44">
        <v>2270.2199999999998</v>
      </c>
      <c r="O22" s="16"/>
      <c r="P22" s="17">
        <v>2270.2159999999999</v>
      </c>
      <c r="Q22" s="18"/>
      <c r="R22" s="19">
        <f t="shared" si="2"/>
        <v>0</v>
      </c>
      <c r="S22" s="19"/>
      <c r="T22" s="20"/>
      <c r="U22" s="20"/>
      <c r="V22" s="21"/>
      <c r="W22" s="19"/>
      <c r="X22" s="19"/>
      <c r="Y22" s="19"/>
      <c r="Z22" s="7"/>
      <c r="AA22" s="22"/>
      <c r="AB22" s="22"/>
      <c r="AC22" s="22"/>
      <c r="AD22" s="22"/>
      <c r="AE22" s="10"/>
      <c r="AF22" s="23"/>
      <c r="AG22" s="11"/>
      <c r="AH22" s="28"/>
      <c r="AI22" s="25"/>
    </row>
    <row r="23" spans="1:35" ht="15.75" customHeight="1" x14ac:dyDescent="0.25">
      <c r="A23" s="14">
        <v>1257</v>
      </c>
      <c r="B23" s="15" t="s">
        <v>74</v>
      </c>
      <c r="C23" s="60">
        <v>33488</v>
      </c>
      <c r="D23" s="61" t="s">
        <v>75</v>
      </c>
      <c r="E23" s="62"/>
      <c r="F23" s="63">
        <v>46101</v>
      </c>
      <c r="G23" s="64">
        <f t="shared" si="3"/>
        <v>46145</v>
      </c>
      <c r="H23" s="65">
        <f t="shared" si="4"/>
        <v>46190</v>
      </c>
      <c r="I23" s="43" t="s">
        <v>37</v>
      </c>
      <c r="J23" s="43" t="s">
        <v>38</v>
      </c>
      <c r="K23" s="44">
        <v>2158</v>
      </c>
      <c r="L23" s="45">
        <v>5.1999999999999998E-2</v>
      </c>
      <c r="M23" s="44">
        <f t="shared" si="5"/>
        <v>112.21599999999999</v>
      </c>
      <c r="N23" s="44">
        <v>2270.2199999999998</v>
      </c>
      <c r="O23" s="16"/>
      <c r="P23" s="17">
        <v>2270.2159999999999</v>
      </c>
      <c r="Q23" s="18"/>
      <c r="R23" s="19">
        <f t="shared" si="2"/>
        <v>0</v>
      </c>
      <c r="S23" s="19"/>
      <c r="T23" s="20"/>
      <c r="U23" s="20"/>
      <c r="V23" s="21"/>
      <c r="W23" s="19"/>
      <c r="X23" s="19"/>
      <c r="Y23" s="19"/>
      <c r="Z23" s="7"/>
      <c r="AA23" s="22"/>
      <c r="AB23" s="22"/>
      <c r="AC23" s="22"/>
      <c r="AD23" s="22"/>
      <c r="AE23" s="10"/>
      <c r="AF23" s="23"/>
      <c r="AG23" s="11"/>
      <c r="AH23" s="28"/>
      <c r="AI23" s="25"/>
    </row>
    <row r="24" spans="1:35" ht="15.75" customHeight="1" x14ac:dyDescent="0.25">
      <c r="A24" s="14">
        <v>1062</v>
      </c>
      <c r="B24" s="15" t="s">
        <v>76</v>
      </c>
      <c r="C24" s="60">
        <v>32573</v>
      </c>
      <c r="D24" s="61" t="s">
        <v>77</v>
      </c>
      <c r="E24" s="62">
        <v>45483</v>
      </c>
      <c r="F24" s="63">
        <v>45530</v>
      </c>
      <c r="G24" s="64">
        <f t="shared" si="3"/>
        <v>45574</v>
      </c>
      <c r="H24" s="65">
        <f t="shared" si="4"/>
        <v>45619</v>
      </c>
      <c r="I24" s="43" t="s">
        <v>37</v>
      </c>
      <c r="J24" s="43" t="s">
        <v>49</v>
      </c>
      <c r="K24" s="44">
        <v>2158</v>
      </c>
      <c r="L24" s="45">
        <v>5.1999999999999998E-2</v>
      </c>
      <c r="M24" s="44">
        <f t="shared" si="5"/>
        <v>112.21599999999999</v>
      </c>
      <c r="N24" s="44">
        <v>2270.2199999999998</v>
      </c>
      <c r="O24" s="16"/>
      <c r="P24" s="17">
        <v>2270.2159999999999</v>
      </c>
      <c r="Q24" s="18">
        <v>0.05</v>
      </c>
      <c r="R24" s="19">
        <f t="shared" si="2"/>
        <v>113.5108</v>
      </c>
      <c r="S24" s="19"/>
      <c r="T24" s="20"/>
      <c r="U24" s="20"/>
      <c r="V24" s="21"/>
      <c r="W24" s="19"/>
      <c r="X24" s="19"/>
      <c r="Y24" s="19"/>
      <c r="Z24" s="7"/>
      <c r="AA24" s="22"/>
      <c r="AB24" s="22"/>
      <c r="AC24" s="22"/>
      <c r="AD24" s="22"/>
      <c r="AE24" s="10"/>
      <c r="AF24" s="23"/>
      <c r="AG24" s="11"/>
      <c r="AH24" s="24"/>
      <c r="AI24" s="25"/>
    </row>
    <row r="25" spans="1:35" ht="15.75" customHeight="1" x14ac:dyDescent="0.25">
      <c r="A25" s="14">
        <v>1269</v>
      </c>
      <c r="B25" s="15" t="s">
        <v>78</v>
      </c>
      <c r="C25" s="60">
        <v>32505</v>
      </c>
      <c r="D25" s="61" t="s">
        <v>79</v>
      </c>
      <c r="E25" s="62"/>
      <c r="F25" s="63">
        <v>46164</v>
      </c>
      <c r="G25" s="64">
        <f t="shared" si="3"/>
        <v>46208</v>
      </c>
      <c r="H25" s="65">
        <f t="shared" si="4"/>
        <v>46253</v>
      </c>
      <c r="I25" s="43" t="s">
        <v>37</v>
      </c>
      <c r="J25" s="43" t="s">
        <v>60</v>
      </c>
      <c r="K25" s="44">
        <v>2158</v>
      </c>
      <c r="L25" s="45">
        <v>5.1999999999999998E-2</v>
      </c>
      <c r="M25" s="44">
        <f t="shared" si="5"/>
        <v>112.21599999999999</v>
      </c>
      <c r="N25" s="44">
        <v>2270.2199999999998</v>
      </c>
      <c r="O25" s="16"/>
      <c r="P25" s="17">
        <v>2270.2159999999999</v>
      </c>
      <c r="Q25" s="18"/>
      <c r="R25" s="19">
        <f t="shared" si="2"/>
        <v>0</v>
      </c>
      <c r="S25" s="19"/>
      <c r="T25" s="20"/>
      <c r="U25" s="20"/>
      <c r="V25" s="21"/>
      <c r="W25" s="19"/>
      <c r="X25" s="19"/>
      <c r="Y25" s="19"/>
      <c r="Z25" s="7"/>
      <c r="AA25" s="22"/>
      <c r="AB25" s="22"/>
      <c r="AC25" s="22"/>
      <c r="AD25" s="22"/>
      <c r="AE25" s="10"/>
      <c r="AF25" s="23"/>
      <c r="AG25" s="11"/>
      <c r="AH25" s="24"/>
      <c r="AI25" s="25"/>
    </row>
    <row r="26" spans="1:35" ht="15.75" customHeight="1" x14ac:dyDescent="0.25">
      <c r="A26" s="14">
        <v>1282</v>
      </c>
      <c r="B26" s="15" t="s">
        <v>80</v>
      </c>
      <c r="C26" s="60">
        <v>34034</v>
      </c>
      <c r="D26" s="61" t="s">
        <v>81</v>
      </c>
      <c r="E26" s="62"/>
      <c r="F26" s="63">
        <v>46181</v>
      </c>
      <c r="G26" s="64">
        <f t="shared" si="3"/>
        <v>46225</v>
      </c>
      <c r="H26" s="65">
        <f t="shared" si="4"/>
        <v>46270</v>
      </c>
      <c r="I26" s="43" t="s">
        <v>37</v>
      </c>
      <c r="J26" s="43" t="s">
        <v>43</v>
      </c>
      <c r="K26" s="44">
        <v>2158</v>
      </c>
      <c r="L26" s="45">
        <v>5.1999999999999998E-2</v>
      </c>
      <c r="M26" s="44">
        <f t="shared" si="5"/>
        <v>112.21599999999999</v>
      </c>
      <c r="N26" s="44">
        <v>2270.2199999999998</v>
      </c>
      <c r="O26" s="16"/>
      <c r="P26" s="17">
        <v>2270.2159999999999</v>
      </c>
      <c r="Q26" s="18"/>
      <c r="R26" s="19">
        <f t="shared" si="2"/>
        <v>0</v>
      </c>
      <c r="S26" s="19"/>
      <c r="T26" s="20"/>
      <c r="U26" s="20"/>
      <c r="V26" s="21"/>
      <c r="W26" s="19"/>
      <c r="X26" s="19"/>
      <c r="Y26" s="19"/>
      <c r="Z26" s="7"/>
      <c r="AA26" s="22"/>
      <c r="AB26" s="22"/>
      <c r="AC26" s="22"/>
      <c r="AD26" s="22"/>
      <c r="AE26" s="10"/>
      <c r="AF26" s="23"/>
      <c r="AG26" s="11"/>
      <c r="AH26" s="24"/>
      <c r="AI26" s="25"/>
    </row>
    <row r="27" spans="1:35" ht="15.75" customHeight="1" x14ac:dyDescent="0.25">
      <c r="A27" s="14">
        <v>1262</v>
      </c>
      <c r="B27" s="15" t="s">
        <v>82</v>
      </c>
      <c r="C27" s="60">
        <v>38114</v>
      </c>
      <c r="D27" s="61" t="s">
        <v>83</v>
      </c>
      <c r="E27" s="62"/>
      <c r="F27" s="63">
        <v>46108</v>
      </c>
      <c r="G27" s="64">
        <f t="shared" si="3"/>
        <v>46152</v>
      </c>
      <c r="H27" s="65">
        <f t="shared" si="4"/>
        <v>46197</v>
      </c>
      <c r="I27" s="43" t="s">
        <v>37</v>
      </c>
      <c r="J27" s="43" t="s">
        <v>43</v>
      </c>
      <c r="K27" s="44">
        <v>2158</v>
      </c>
      <c r="L27" s="45">
        <v>5.1999999999999998E-2</v>
      </c>
      <c r="M27" s="44">
        <f t="shared" si="5"/>
        <v>112.21599999999999</v>
      </c>
      <c r="N27" s="44">
        <v>2270.2199999999998</v>
      </c>
      <c r="O27" s="16"/>
      <c r="P27" s="17">
        <v>2270.2159999999999</v>
      </c>
      <c r="Q27" s="18"/>
      <c r="R27" s="19">
        <f t="shared" si="2"/>
        <v>0</v>
      </c>
      <c r="S27" s="19"/>
      <c r="T27" s="20"/>
      <c r="U27" s="20"/>
      <c r="V27" s="21"/>
      <c r="W27" s="19"/>
      <c r="X27" s="19"/>
      <c r="Y27" s="19"/>
      <c r="Z27" s="7"/>
      <c r="AA27" s="22"/>
      <c r="AB27" s="22"/>
      <c r="AC27" s="22"/>
      <c r="AD27" s="22"/>
      <c r="AE27" s="10"/>
      <c r="AF27" s="23"/>
      <c r="AG27" s="11"/>
      <c r="AH27" s="24"/>
      <c r="AI27" s="25"/>
    </row>
    <row r="28" spans="1:35" ht="15.75" customHeight="1" x14ac:dyDescent="0.25">
      <c r="A28" s="14">
        <v>1297</v>
      </c>
      <c r="B28" s="15" t="s">
        <v>84</v>
      </c>
      <c r="C28" s="60">
        <v>35286</v>
      </c>
      <c r="D28" s="61" t="s">
        <v>85</v>
      </c>
      <c r="E28" s="62"/>
      <c r="F28" s="63">
        <v>46218</v>
      </c>
      <c r="G28" s="64">
        <f t="shared" si="3"/>
        <v>46262</v>
      </c>
      <c r="H28" s="65">
        <f t="shared" si="4"/>
        <v>46307</v>
      </c>
      <c r="I28" s="43" t="s">
        <v>37</v>
      </c>
      <c r="J28" s="43" t="s">
        <v>60</v>
      </c>
      <c r="K28" s="44">
        <v>2158</v>
      </c>
      <c r="L28" s="45">
        <v>5.1999999999999998E-2</v>
      </c>
      <c r="M28" s="44">
        <f t="shared" si="5"/>
        <v>112.21599999999999</v>
      </c>
      <c r="N28" s="44">
        <v>2270.2199999999998</v>
      </c>
      <c r="O28" s="16"/>
      <c r="P28" s="17">
        <v>2270.2159999999999</v>
      </c>
      <c r="Q28" s="18"/>
      <c r="R28" s="19">
        <f t="shared" si="2"/>
        <v>0</v>
      </c>
      <c r="S28" s="19"/>
      <c r="T28" s="20"/>
      <c r="U28" s="20"/>
      <c r="V28" s="21"/>
      <c r="W28" s="19"/>
      <c r="X28" s="19"/>
      <c r="Y28" s="19"/>
      <c r="Z28" s="7"/>
      <c r="AA28" s="22"/>
      <c r="AB28" s="22"/>
      <c r="AC28" s="22"/>
      <c r="AD28" s="22"/>
      <c r="AE28" s="10"/>
      <c r="AF28" s="23"/>
      <c r="AG28" s="11"/>
      <c r="AH28" s="24"/>
      <c r="AI28" s="29"/>
    </row>
    <row r="29" spans="1:35" ht="15.75" customHeight="1" x14ac:dyDescent="0.25">
      <c r="A29" s="14">
        <v>1006</v>
      </c>
      <c r="B29" s="15" t="s">
        <v>86</v>
      </c>
      <c r="C29" s="60">
        <v>34083</v>
      </c>
      <c r="D29" s="61" t="s">
        <v>87</v>
      </c>
      <c r="E29" s="62">
        <v>44927</v>
      </c>
      <c r="F29" s="63">
        <v>45078</v>
      </c>
      <c r="G29" s="64">
        <f t="shared" si="3"/>
        <v>45122</v>
      </c>
      <c r="H29" s="65">
        <f t="shared" si="4"/>
        <v>45167</v>
      </c>
      <c r="I29" s="43" t="s">
        <v>88</v>
      </c>
      <c r="J29" s="43" t="s">
        <v>49</v>
      </c>
      <c r="K29" s="44">
        <v>4287.0200000000004</v>
      </c>
      <c r="L29" s="45">
        <v>5.1999999999999998E-2</v>
      </c>
      <c r="M29" s="44">
        <f t="shared" si="5"/>
        <v>222.92504000000002</v>
      </c>
      <c r="N29" s="44">
        <v>5000</v>
      </c>
      <c r="O29" s="16"/>
      <c r="P29" s="17">
        <v>4509.9450400000014</v>
      </c>
      <c r="Q29" s="18">
        <v>0.05</v>
      </c>
      <c r="R29" s="19">
        <f t="shared" si="2"/>
        <v>225.49725200000009</v>
      </c>
      <c r="S29" s="19"/>
      <c r="T29" s="20"/>
      <c r="U29" s="20"/>
      <c r="V29" s="21"/>
      <c r="W29" s="19"/>
      <c r="X29" s="19"/>
      <c r="Y29" s="19"/>
      <c r="Z29" s="7"/>
      <c r="AA29" s="22"/>
      <c r="AB29" s="22"/>
      <c r="AC29" s="22"/>
      <c r="AD29" s="22"/>
      <c r="AE29" s="10"/>
      <c r="AF29" s="23"/>
      <c r="AG29" s="11"/>
      <c r="AH29" s="24"/>
      <c r="AI29" s="25"/>
    </row>
    <row r="30" spans="1:35" ht="15.75" customHeight="1" x14ac:dyDescent="0.25">
      <c r="A30" s="14">
        <v>1290</v>
      </c>
      <c r="B30" s="15" t="s">
        <v>89</v>
      </c>
      <c r="C30" s="60">
        <v>38300</v>
      </c>
      <c r="D30" s="61" t="s">
        <v>90</v>
      </c>
      <c r="E30" s="62"/>
      <c r="F30" s="63">
        <v>46181</v>
      </c>
      <c r="G30" s="64">
        <f t="shared" si="3"/>
        <v>46225</v>
      </c>
      <c r="H30" s="65">
        <f t="shared" si="4"/>
        <v>46270</v>
      </c>
      <c r="I30" s="43" t="s">
        <v>37</v>
      </c>
      <c r="J30" s="43"/>
      <c r="K30" s="44"/>
      <c r="L30" s="45"/>
      <c r="M30" s="44"/>
      <c r="N30" s="44">
        <v>2270.2199999999998</v>
      </c>
      <c r="O30" s="16"/>
      <c r="P30" s="17">
        <v>2270.2159999999999</v>
      </c>
      <c r="Q30" s="18"/>
      <c r="R30" s="19">
        <f t="shared" si="2"/>
        <v>0</v>
      </c>
      <c r="S30" s="19"/>
      <c r="T30" s="20"/>
      <c r="U30" s="20"/>
      <c r="V30" s="21"/>
      <c r="W30" s="19"/>
      <c r="X30" s="19"/>
      <c r="Y30" s="19"/>
      <c r="Z30" s="7"/>
      <c r="AA30" s="22"/>
      <c r="AB30" s="22"/>
      <c r="AC30" s="22"/>
      <c r="AD30" s="22"/>
      <c r="AE30" s="10"/>
      <c r="AF30" s="23"/>
      <c r="AG30" s="11"/>
      <c r="AH30" s="24"/>
      <c r="AI30" s="25"/>
    </row>
    <row r="31" spans="1:35" ht="15.75" customHeight="1" x14ac:dyDescent="0.25">
      <c r="A31" s="14">
        <v>1080</v>
      </c>
      <c r="B31" s="15" t="s">
        <v>91</v>
      </c>
      <c r="C31" s="60">
        <v>33127</v>
      </c>
      <c r="D31" s="61" t="s">
        <v>92</v>
      </c>
      <c r="E31" s="62">
        <v>45684</v>
      </c>
      <c r="F31" s="63">
        <v>45719</v>
      </c>
      <c r="G31" s="64">
        <f t="shared" si="3"/>
        <v>45763</v>
      </c>
      <c r="H31" s="65">
        <f t="shared" si="4"/>
        <v>45808</v>
      </c>
      <c r="I31" s="43" t="s">
        <v>93</v>
      </c>
      <c r="J31" s="43" t="s">
        <v>94</v>
      </c>
      <c r="K31" s="44">
        <v>3045.9</v>
      </c>
      <c r="L31" s="45">
        <v>5.1999999999999998E-2</v>
      </c>
      <c r="M31" s="44">
        <f t="shared" ref="M31:M44" si="6">K31*L31</f>
        <v>158.38679999999999</v>
      </c>
      <c r="N31" s="44">
        <v>3500</v>
      </c>
      <c r="O31" s="16"/>
      <c r="P31" s="17">
        <v>3204.2867999999999</v>
      </c>
      <c r="Q31" s="18"/>
      <c r="R31" s="19">
        <f t="shared" si="2"/>
        <v>0</v>
      </c>
      <c r="S31" s="19"/>
      <c r="T31" s="20"/>
      <c r="U31" s="20"/>
      <c r="V31" s="21"/>
      <c r="W31" s="19"/>
      <c r="X31" s="19"/>
      <c r="Y31" s="19"/>
      <c r="Z31" s="7"/>
      <c r="AA31" s="22"/>
      <c r="AB31" s="22"/>
      <c r="AC31" s="22"/>
      <c r="AD31" s="22"/>
      <c r="AE31" s="10"/>
      <c r="AF31" s="23"/>
      <c r="AG31" s="11"/>
      <c r="AH31" s="24"/>
      <c r="AI31" s="25"/>
    </row>
    <row r="32" spans="1:35" ht="15.75" customHeight="1" x14ac:dyDescent="0.25">
      <c r="A32" s="14">
        <v>1018</v>
      </c>
      <c r="B32" s="15" t="s">
        <v>95</v>
      </c>
      <c r="C32" s="60">
        <v>27693</v>
      </c>
      <c r="D32" s="61" t="s">
        <v>96</v>
      </c>
      <c r="E32" s="62">
        <v>45170</v>
      </c>
      <c r="F32" s="63">
        <v>45208</v>
      </c>
      <c r="G32" s="64">
        <f t="shared" si="3"/>
        <v>45252</v>
      </c>
      <c r="H32" s="65">
        <f t="shared" si="4"/>
        <v>45297</v>
      </c>
      <c r="I32" s="43" t="s">
        <v>63</v>
      </c>
      <c r="J32" s="43" t="s">
        <v>64</v>
      </c>
      <c r="K32" s="44">
        <v>2158</v>
      </c>
      <c r="L32" s="45">
        <v>5.1999999999999998E-2</v>
      </c>
      <c r="M32" s="44">
        <f t="shared" si="6"/>
        <v>112.21599999999999</v>
      </c>
      <c r="N32" s="44">
        <v>2270.2199999999998</v>
      </c>
      <c r="O32" s="16"/>
      <c r="P32" s="17">
        <v>2270.2159999999999</v>
      </c>
      <c r="Q32" s="18"/>
      <c r="R32" s="19">
        <f t="shared" si="2"/>
        <v>0</v>
      </c>
      <c r="S32" s="19"/>
      <c r="T32" s="20"/>
      <c r="U32" s="20"/>
      <c r="V32" s="21"/>
      <c r="W32" s="19"/>
      <c r="X32" s="19"/>
      <c r="Y32" s="19"/>
      <c r="Z32" s="7"/>
      <c r="AA32" s="22"/>
      <c r="AB32" s="22"/>
      <c r="AC32" s="22"/>
      <c r="AD32" s="22"/>
      <c r="AE32" s="10"/>
      <c r="AF32" s="23"/>
      <c r="AG32" s="11"/>
      <c r="AH32" s="24"/>
      <c r="AI32" s="25"/>
    </row>
    <row r="33" spans="1:35" ht="15.75" customHeight="1" x14ac:dyDescent="0.25">
      <c r="A33" s="14">
        <v>1296</v>
      </c>
      <c r="B33" s="15" t="s">
        <v>97</v>
      </c>
      <c r="C33" s="60">
        <v>30043</v>
      </c>
      <c r="D33" s="61" t="s">
        <v>98</v>
      </c>
      <c r="E33" s="62"/>
      <c r="F33" s="63">
        <v>46204</v>
      </c>
      <c r="G33" s="64">
        <f t="shared" si="3"/>
        <v>46248</v>
      </c>
      <c r="H33" s="65">
        <f t="shared" si="4"/>
        <v>46293</v>
      </c>
      <c r="I33" s="43" t="s">
        <v>37</v>
      </c>
      <c r="J33" s="43" t="s">
        <v>99</v>
      </c>
      <c r="K33" s="44">
        <v>2158</v>
      </c>
      <c r="L33" s="45">
        <v>5.1999999999999998E-2</v>
      </c>
      <c r="M33" s="44">
        <f t="shared" si="6"/>
        <v>112.21599999999999</v>
      </c>
      <c r="N33" s="44">
        <v>2270.2199999999998</v>
      </c>
      <c r="O33" s="16"/>
      <c r="P33" s="17">
        <v>2270.2159999999999</v>
      </c>
      <c r="Q33" s="18"/>
      <c r="R33" s="19">
        <f t="shared" si="2"/>
        <v>0</v>
      </c>
      <c r="S33" s="19"/>
      <c r="T33" s="20"/>
      <c r="U33" s="20"/>
      <c r="V33" s="21"/>
      <c r="W33" s="19"/>
      <c r="X33" s="19"/>
      <c r="Y33" s="19"/>
      <c r="Z33" s="7"/>
      <c r="AA33" s="22"/>
      <c r="AB33" s="22"/>
      <c r="AC33" s="22"/>
      <c r="AD33" s="22"/>
      <c r="AE33" s="10"/>
      <c r="AF33" s="23"/>
      <c r="AG33" s="11"/>
      <c r="AH33" s="24"/>
      <c r="AI33" s="25"/>
    </row>
    <row r="34" spans="1:35" ht="15.75" customHeight="1" x14ac:dyDescent="0.25">
      <c r="A34" s="14">
        <v>1265</v>
      </c>
      <c r="B34" s="15" t="s">
        <v>100</v>
      </c>
      <c r="C34" s="60">
        <v>35501</v>
      </c>
      <c r="D34" s="61" t="s">
        <v>101</v>
      </c>
      <c r="E34" s="62"/>
      <c r="F34" s="63">
        <v>46146</v>
      </c>
      <c r="G34" s="64">
        <f t="shared" si="3"/>
        <v>46190</v>
      </c>
      <c r="H34" s="65">
        <f t="shared" si="4"/>
        <v>46235</v>
      </c>
      <c r="I34" s="43" t="s">
        <v>37</v>
      </c>
      <c r="J34" s="43" t="s">
        <v>99</v>
      </c>
      <c r="K34" s="44">
        <v>2158</v>
      </c>
      <c r="L34" s="45">
        <v>5.1999999999999998E-2</v>
      </c>
      <c r="M34" s="44">
        <f t="shared" si="6"/>
        <v>112.21599999999999</v>
      </c>
      <c r="N34" s="44">
        <v>2270.2199999999998</v>
      </c>
      <c r="O34" s="16"/>
      <c r="P34" s="17">
        <v>2270.2159999999999</v>
      </c>
      <c r="Q34" s="18"/>
      <c r="R34" s="19">
        <f t="shared" si="2"/>
        <v>0</v>
      </c>
      <c r="S34" s="19"/>
      <c r="T34" s="20"/>
      <c r="U34" s="20"/>
      <c r="V34" s="21"/>
      <c r="W34" s="19"/>
      <c r="X34" s="19"/>
      <c r="Y34" s="19"/>
      <c r="Z34" s="7"/>
      <c r="AA34" s="22"/>
      <c r="AB34" s="22"/>
      <c r="AC34" s="22"/>
      <c r="AD34" s="22"/>
      <c r="AE34" s="10"/>
      <c r="AF34" s="23"/>
      <c r="AG34" s="11"/>
      <c r="AH34" s="24"/>
      <c r="AI34" s="25"/>
    </row>
    <row r="35" spans="1:35" ht="15.75" customHeight="1" x14ac:dyDescent="0.25">
      <c r="A35" s="14">
        <v>1283</v>
      </c>
      <c r="B35" s="15" t="s">
        <v>102</v>
      </c>
      <c r="C35" s="60">
        <v>37025</v>
      </c>
      <c r="D35" s="61" t="s">
        <v>103</v>
      </c>
      <c r="E35" s="62"/>
      <c r="F35" s="63">
        <v>46181</v>
      </c>
      <c r="G35" s="64">
        <f t="shared" si="3"/>
        <v>46225</v>
      </c>
      <c r="H35" s="65">
        <f t="shared" si="4"/>
        <v>46270</v>
      </c>
      <c r="I35" s="43" t="s">
        <v>37</v>
      </c>
      <c r="J35" s="43" t="s">
        <v>43</v>
      </c>
      <c r="K35" s="44">
        <v>2158</v>
      </c>
      <c r="L35" s="45">
        <v>5.1999999999999998E-2</v>
      </c>
      <c r="M35" s="44">
        <f t="shared" si="6"/>
        <v>112.21599999999999</v>
      </c>
      <c r="N35" s="44">
        <v>2270.2199999999998</v>
      </c>
      <c r="O35" s="16"/>
      <c r="P35" s="17">
        <v>2270.2159999999999</v>
      </c>
      <c r="Q35" s="18"/>
      <c r="R35" s="19">
        <f t="shared" si="2"/>
        <v>0</v>
      </c>
      <c r="S35" s="19"/>
      <c r="T35" s="20"/>
      <c r="U35" s="20"/>
      <c r="V35" s="21"/>
      <c r="W35" s="19"/>
      <c r="X35" s="19"/>
      <c r="Y35" s="19"/>
      <c r="Z35" s="7"/>
      <c r="AA35" s="22"/>
      <c r="AB35" s="22"/>
      <c r="AC35" s="22"/>
      <c r="AD35" s="22"/>
      <c r="AE35" s="10"/>
      <c r="AF35" s="23"/>
      <c r="AG35" s="11"/>
      <c r="AH35" s="24"/>
      <c r="AI35" s="25"/>
    </row>
    <row r="36" spans="1:35" ht="15.75" customHeight="1" x14ac:dyDescent="0.25">
      <c r="A36" s="14">
        <v>1097</v>
      </c>
      <c r="B36" s="15" t="s">
        <v>104</v>
      </c>
      <c r="C36" s="60">
        <v>32921</v>
      </c>
      <c r="D36" s="61" t="s">
        <v>105</v>
      </c>
      <c r="E36" s="62"/>
      <c r="F36" s="63">
        <v>45748</v>
      </c>
      <c r="G36" s="64">
        <f t="shared" si="3"/>
        <v>45792</v>
      </c>
      <c r="H36" s="65">
        <f t="shared" si="4"/>
        <v>45837</v>
      </c>
      <c r="I36" s="43" t="s">
        <v>106</v>
      </c>
      <c r="J36" s="43" t="s">
        <v>38</v>
      </c>
      <c r="K36" s="44">
        <v>4027</v>
      </c>
      <c r="L36" s="45">
        <v>5.1999999999999998E-2</v>
      </c>
      <c r="M36" s="44">
        <f t="shared" si="6"/>
        <v>209.404</v>
      </c>
      <c r="N36" s="44">
        <v>4236.3999999999996</v>
      </c>
      <c r="O36" s="16"/>
      <c r="P36" s="17">
        <v>4236.4040000000005</v>
      </c>
      <c r="Q36" s="18"/>
      <c r="R36" s="19">
        <f t="shared" si="2"/>
        <v>0</v>
      </c>
      <c r="S36" s="19"/>
      <c r="T36" s="20"/>
      <c r="U36" s="20"/>
      <c r="V36" s="21"/>
      <c r="W36" s="19"/>
      <c r="X36" s="19"/>
      <c r="Y36" s="19"/>
      <c r="Z36" s="7"/>
      <c r="AA36" s="22"/>
      <c r="AB36" s="22"/>
      <c r="AC36" s="22"/>
      <c r="AD36" s="22"/>
      <c r="AE36" s="10"/>
      <c r="AF36" s="23"/>
      <c r="AG36" s="11"/>
      <c r="AH36" s="24"/>
      <c r="AI36" s="25"/>
    </row>
    <row r="37" spans="1:35" ht="15.75" customHeight="1" x14ac:dyDescent="0.25">
      <c r="A37" s="14">
        <v>1224</v>
      </c>
      <c r="B37" s="15" t="s">
        <v>279</v>
      </c>
      <c r="C37" s="60">
        <v>29930</v>
      </c>
      <c r="D37" s="61" t="s">
        <v>107</v>
      </c>
      <c r="E37" s="62"/>
      <c r="F37" s="63">
        <v>46056</v>
      </c>
      <c r="G37" s="64">
        <f t="shared" si="3"/>
        <v>46100</v>
      </c>
      <c r="H37" s="65">
        <f t="shared" si="4"/>
        <v>46145</v>
      </c>
      <c r="I37" s="43" t="s">
        <v>37</v>
      </c>
      <c r="J37" s="43" t="s">
        <v>60</v>
      </c>
      <c r="K37" s="44">
        <v>2158</v>
      </c>
      <c r="L37" s="45">
        <v>5.1999999999999998E-2</v>
      </c>
      <c r="M37" s="44">
        <f t="shared" si="6"/>
        <v>112.21599999999999</v>
      </c>
      <c r="N37" s="44">
        <v>2270.2199999999998</v>
      </c>
      <c r="O37" s="16"/>
      <c r="P37" s="17">
        <v>2270.2159999999999</v>
      </c>
      <c r="Q37" s="18"/>
      <c r="R37" s="19">
        <f t="shared" si="2"/>
        <v>0</v>
      </c>
      <c r="S37" s="19"/>
      <c r="T37" s="20"/>
      <c r="U37" s="20"/>
      <c r="V37" s="21"/>
      <c r="W37" s="19"/>
      <c r="X37" s="19"/>
      <c r="Y37" s="19"/>
      <c r="Z37" s="7"/>
      <c r="AA37" s="22"/>
      <c r="AB37" s="22"/>
      <c r="AC37" s="22"/>
      <c r="AD37" s="22"/>
      <c r="AE37" s="10"/>
      <c r="AF37" s="23"/>
      <c r="AG37" s="11"/>
      <c r="AH37" s="24"/>
      <c r="AI37" s="25"/>
    </row>
    <row r="38" spans="1:35" ht="15.75" customHeight="1" x14ac:dyDescent="0.25">
      <c r="A38" s="14">
        <v>1299</v>
      </c>
      <c r="B38" s="15" t="s">
        <v>108</v>
      </c>
      <c r="C38" s="60">
        <v>36485</v>
      </c>
      <c r="D38" s="61" t="s">
        <v>109</v>
      </c>
      <c r="E38" s="62"/>
      <c r="F38" s="63">
        <v>46218</v>
      </c>
      <c r="G38" s="64">
        <f t="shared" si="3"/>
        <v>46262</v>
      </c>
      <c r="H38" s="65">
        <f t="shared" si="4"/>
        <v>46307</v>
      </c>
      <c r="I38" s="43" t="s">
        <v>37</v>
      </c>
      <c r="J38" s="43" t="s">
        <v>110</v>
      </c>
      <c r="K38" s="44">
        <v>2158</v>
      </c>
      <c r="L38" s="45">
        <v>5.1999999999999998E-2</v>
      </c>
      <c r="M38" s="44">
        <f t="shared" si="6"/>
        <v>112.21599999999999</v>
      </c>
      <c r="N38" s="44">
        <v>2270.2199999999998</v>
      </c>
      <c r="O38" s="16"/>
      <c r="P38" s="17">
        <v>2270.2159999999999</v>
      </c>
      <c r="Q38" s="18"/>
      <c r="R38" s="19">
        <f t="shared" si="2"/>
        <v>0</v>
      </c>
      <c r="S38" s="19"/>
      <c r="T38" s="20"/>
      <c r="U38" s="20"/>
      <c r="V38" s="21"/>
      <c r="W38" s="19"/>
      <c r="X38" s="19"/>
      <c r="Y38" s="19"/>
      <c r="Z38" s="7"/>
      <c r="AA38" s="22"/>
      <c r="AB38" s="22"/>
      <c r="AC38" s="22"/>
      <c r="AD38" s="22"/>
      <c r="AE38" s="10"/>
      <c r="AF38" s="23"/>
      <c r="AG38" s="11"/>
      <c r="AH38" s="24"/>
      <c r="AI38" s="25"/>
    </row>
    <row r="39" spans="1:35" ht="15.75" customHeight="1" x14ac:dyDescent="0.25">
      <c r="A39" s="14">
        <v>1195</v>
      </c>
      <c r="B39" s="15" t="s">
        <v>280</v>
      </c>
      <c r="C39" s="60">
        <v>37361</v>
      </c>
      <c r="D39" s="61" t="s">
        <v>111</v>
      </c>
      <c r="E39" s="62"/>
      <c r="F39" s="63">
        <v>45964</v>
      </c>
      <c r="G39" s="64">
        <f t="shared" si="3"/>
        <v>46008</v>
      </c>
      <c r="H39" s="65">
        <f t="shared" si="4"/>
        <v>46053</v>
      </c>
      <c r="I39" s="43" t="s">
        <v>37</v>
      </c>
      <c r="J39" s="43" t="s">
        <v>38</v>
      </c>
      <c r="K39" s="44">
        <v>2158</v>
      </c>
      <c r="L39" s="45">
        <v>5.1999999999999998E-2</v>
      </c>
      <c r="M39" s="44">
        <f t="shared" si="6"/>
        <v>112.21599999999999</v>
      </c>
      <c r="N39" s="44">
        <v>2270.2199999999998</v>
      </c>
      <c r="O39" s="16"/>
      <c r="P39" s="17">
        <v>2270.2159999999999</v>
      </c>
      <c r="Q39" s="18"/>
      <c r="R39" s="19">
        <f t="shared" si="2"/>
        <v>0</v>
      </c>
      <c r="S39" s="19"/>
      <c r="T39" s="20"/>
      <c r="U39" s="20"/>
      <c r="V39" s="21"/>
      <c r="W39" s="19"/>
      <c r="X39" s="19"/>
      <c r="Y39" s="19"/>
      <c r="Z39" s="7"/>
      <c r="AA39" s="22"/>
      <c r="AB39" s="22"/>
      <c r="AC39" s="22"/>
      <c r="AD39" s="22"/>
      <c r="AE39" s="10"/>
      <c r="AF39" s="23"/>
      <c r="AG39" s="11"/>
      <c r="AH39" s="24"/>
      <c r="AI39" s="25"/>
    </row>
    <row r="40" spans="1:35" ht="15.75" customHeight="1" x14ac:dyDescent="0.25">
      <c r="A40" s="14">
        <v>1233</v>
      </c>
      <c r="B40" s="15" t="s">
        <v>112</v>
      </c>
      <c r="C40" s="60">
        <v>33088</v>
      </c>
      <c r="D40" s="61" t="s">
        <v>113</v>
      </c>
      <c r="E40" s="62"/>
      <c r="F40" s="63">
        <v>46055</v>
      </c>
      <c r="G40" s="64">
        <f t="shared" si="3"/>
        <v>46099</v>
      </c>
      <c r="H40" s="65">
        <f t="shared" si="4"/>
        <v>46144</v>
      </c>
      <c r="I40" s="43" t="s">
        <v>37</v>
      </c>
      <c r="J40" s="43" t="s">
        <v>43</v>
      </c>
      <c r="K40" s="44">
        <v>2158</v>
      </c>
      <c r="L40" s="45">
        <v>5.1999999999999998E-2</v>
      </c>
      <c r="M40" s="44">
        <f t="shared" si="6"/>
        <v>112.21599999999999</v>
      </c>
      <c r="N40" s="44">
        <v>2270.2199999999998</v>
      </c>
      <c r="O40" s="16"/>
      <c r="P40" s="17">
        <v>2270.2159999999999</v>
      </c>
      <c r="Q40" s="18"/>
      <c r="R40" s="19">
        <f t="shared" si="2"/>
        <v>0</v>
      </c>
      <c r="S40" s="19"/>
      <c r="T40" s="20"/>
      <c r="U40" s="20"/>
      <c r="V40" s="21"/>
      <c r="W40" s="19"/>
      <c r="X40" s="19"/>
      <c r="Y40" s="19"/>
      <c r="Z40" s="7"/>
      <c r="AA40" s="22"/>
      <c r="AB40" s="22"/>
      <c r="AC40" s="22"/>
      <c r="AD40" s="22"/>
      <c r="AE40" s="10"/>
      <c r="AF40" s="23"/>
      <c r="AG40" s="11"/>
      <c r="AH40" s="24"/>
      <c r="AI40" s="25"/>
    </row>
    <row r="41" spans="1:35" ht="15.75" customHeight="1" x14ac:dyDescent="0.25">
      <c r="A41" s="14">
        <v>1277</v>
      </c>
      <c r="B41" s="30" t="s">
        <v>114</v>
      </c>
      <c r="C41" s="60">
        <v>34866</v>
      </c>
      <c r="D41" s="61" t="s">
        <v>115</v>
      </c>
      <c r="E41" s="62"/>
      <c r="F41" s="63">
        <v>46171</v>
      </c>
      <c r="G41" s="64">
        <f t="shared" si="3"/>
        <v>46215</v>
      </c>
      <c r="H41" s="65">
        <f t="shared" si="4"/>
        <v>46260</v>
      </c>
      <c r="I41" s="43" t="s">
        <v>37</v>
      </c>
      <c r="J41" s="43" t="s">
        <v>38</v>
      </c>
      <c r="K41" s="44">
        <v>2158</v>
      </c>
      <c r="L41" s="45">
        <v>5.1999999999999998E-2</v>
      </c>
      <c r="M41" s="44">
        <f t="shared" si="6"/>
        <v>112.21599999999999</v>
      </c>
      <c r="N41" s="44">
        <v>2270.2199999999998</v>
      </c>
      <c r="O41" s="16"/>
      <c r="P41" s="17">
        <v>2270.2159999999999</v>
      </c>
      <c r="Q41" s="18"/>
      <c r="R41" s="19">
        <f t="shared" si="2"/>
        <v>0</v>
      </c>
      <c r="S41" s="19"/>
      <c r="T41" s="20"/>
      <c r="U41" s="20"/>
      <c r="V41" s="21"/>
      <c r="W41" s="19"/>
      <c r="X41" s="19"/>
      <c r="Y41" s="19"/>
      <c r="Z41" s="7"/>
      <c r="AA41" s="22"/>
      <c r="AB41" s="22"/>
      <c r="AC41" s="22"/>
      <c r="AD41" s="22"/>
      <c r="AE41" s="10"/>
      <c r="AF41" s="23"/>
      <c r="AG41" s="11"/>
      <c r="AH41" s="24"/>
      <c r="AI41" s="25"/>
    </row>
    <row r="42" spans="1:35" ht="15.75" customHeight="1" x14ac:dyDescent="0.25">
      <c r="A42" s="14">
        <v>1216</v>
      </c>
      <c r="B42" s="15" t="s">
        <v>116</v>
      </c>
      <c r="C42" s="60">
        <v>36697</v>
      </c>
      <c r="D42" s="61" t="s">
        <v>117</v>
      </c>
      <c r="E42" s="62"/>
      <c r="F42" s="63">
        <v>46045</v>
      </c>
      <c r="G42" s="64">
        <f t="shared" si="3"/>
        <v>46089</v>
      </c>
      <c r="H42" s="65">
        <f t="shared" si="4"/>
        <v>46134</v>
      </c>
      <c r="I42" s="43" t="s">
        <v>118</v>
      </c>
      <c r="J42" s="43" t="s">
        <v>43</v>
      </c>
      <c r="K42" s="44">
        <v>2158</v>
      </c>
      <c r="L42" s="45">
        <v>5.1999999999999998E-2</v>
      </c>
      <c r="M42" s="44">
        <f t="shared" si="6"/>
        <v>112.21599999999999</v>
      </c>
      <c r="N42" s="44">
        <v>2497.42</v>
      </c>
      <c r="O42" s="16"/>
      <c r="P42" s="17">
        <v>2270.2159999999999</v>
      </c>
      <c r="Q42" s="18"/>
      <c r="R42" s="19">
        <f t="shared" si="2"/>
        <v>0</v>
      </c>
      <c r="S42" s="19"/>
      <c r="T42" s="20"/>
      <c r="U42" s="20"/>
      <c r="V42" s="21"/>
      <c r="W42" s="19"/>
      <c r="X42" s="19"/>
      <c r="Y42" s="19"/>
      <c r="Z42" s="7"/>
      <c r="AA42" s="22"/>
      <c r="AB42" s="22"/>
      <c r="AC42" s="22"/>
      <c r="AD42" s="22"/>
      <c r="AE42" s="10"/>
      <c r="AF42" s="23"/>
      <c r="AG42" s="11"/>
      <c r="AH42" s="24"/>
      <c r="AI42" s="25"/>
    </row>
    <row r="43" spans="1:35" ht="15.75" customHeight="1" x14ac:dyDescent="0.25">
      <c r="A43" s="14">
        <v>1082</v>
      </c>
      <c r="B43" s="15" t="s">
        <v>119</v>
      </c>
      <c r="C43" s="60">
        <v>32398</v>
      </c>
      <c r="D43" s="61" t="s">
        <v>120</v>
      </c>
      <c r="E43" s="62"/>
      <c r="F43" s="63">
        <v>45719</v>
      </c>
      <c r="G43" s="64">
        <f t="shared" si="3"/>
        <v>45763</v>
      </c>
      <c r="H43" s="65">
        <f t="shared" si="4"/>
        <v>45808</v>
      </c>
      <c r="I43" s="43" t="s">
        <v>37</v>
      </c>
      <c r="J43" s="43" t="s">
        <v>33</v>
      </c>
      <c r="K43" s="44">
        <v>2158</v>
      </c>
      <c r="L43" s="45">
        <v>5.1999999999999998E-2</v>
      </c>
      <c r="M43" s="44">
        <f t="shared" si="6"/>
        <v>112.21599999999999</v>
      </c>
      <c r="N43" s="44">
        <v>2270.2199999999998</v>
      </c>
      <c r="O43" s="16"/>
      <c r="P43" s="17">
        <v>2270.2159999999999</v>
      </c>
      <c r="Q43" s="18"/>
      <c r="R43" s="19">
        <f t="shared" si="2"/>
        <v>0</v>
      </c>
      <c r="S43" s="19"/>
      <c r="T43" s="20"/>
      <c r="U43" s="20"/>
      <c r="V43" s="21"/>
      <c r="W43" s="19"/>
      <c r="X43" s="19"/>
      <c r="Y43" s="19"/>
      <c r="Z43" s="7"/>
      <c r="AA43" s="22"/>
      <c r="AB43" s="22"/>
      <c r="AC43" s="22"/>
      <c r="AD43" s="22"/>
      <c r="AE43" s="10"/>
      <c r="AF43" s="23"/>
      <c r="AG43" s="11"/>
      <c r="AH43" s="24"/>
      <c r="AI43" s="25"/>
    </row>
    <row r="44" spans="1:35" ht="15.75" customHeight="1" x14ac:dyDescent="0.25">
      <c r="A44" s="14">
        <v>1121</v>
      </c>
      <c r="B44" s="15" t="s">
        <v>121</v>
      </c>
      <c r="C44" s="60">
        <v>38663</v>
      </c>
      <c r="D44" s="61" t="s">
        <v>122</v>
      </c>
      <c r="E44" s="62"/>
      <c r="F44" s="63">
        <v>45798</v>
      </c>
      <c r="G44" s="64">
        <f t="shared" si="3"/>
        <v>45842</v>
      </c>
      <c r="H44" s="65">
        <f t="shared" si="4"/>
        <v>45887</v>
      </c>
      <c r="I44" s="43" t="s">
        <v>37</v>
      </c>
      <c r="J44" s="43" t="s">
        <v>43</v>
      </c>
      <c r="K44" s="44">
        <v>2158</v>
      </c>
      <c r="L44" s="45">
        <v>5.1999999999999998E-2</v>
      </c>
      <c r="M44" s="44">
        <f t="shared" si="6"/>
        <v>112.21599999999999</v>
      </c>
      <c r="N44" s="44">
        <v>2270.2199999999998</v>
      </c>
      <c r="O44" s="16"/>
      <c r="P44" s="17">
        <v>2270.2159999999999</v>
      </c>
      <c r="Q44" s="18"/>
      <c r="R44" s="19">
        <f t="shared" si="2"/>
        <v>0</v>
      </c>
      <c r="S44" s="19"/>
      <c r="T44" s="20"/>
      <c r="U44" s="20"/>
      <c r="V44" s="21"/>
      <c r="W44" s="19"/>
      <c r="X44" s="19"/>
      <c r="Y44" s="19"/>
      <c r="Z44" s="7"/>
      <c r="AA44" s="22"/>
      <c r="AB44" s="22"/>
      <c r="AC44" s="22"/>
      <c r="AD44" s="22"/>
      <c r="AE44" s="10"/>
      <c r="AF44" s="23"/>
      <c r="AG44" s="11"/>
      <c r="AH44" s="24"/>
      <c r="AI44" s="25"/>
    </row>
    <row r="45" spans="1:35" ht="15.75" customHeight="1" x14ac:dyDescent="0.25">
      <c r="A45" s="14"/>
      <c r="B45" s="15" t="s">
        <v>288</v>
      </c>
      <c r="C45" s="60"/>
      <c r="D45" s="61"/>
      <c r="E45" s="62"/>
      <c r="F45" s="63"/>
      <c r="G45" s="64"/>
      <c r="H45" s="65"/>
      <c r="I45" s="43"/>
      <c r="J45" s="43"/>
      <c r="K45" s="44"/>
      <c r="L45" s="45"/>
      <c r="M45" s="44"/>
      <c r="N45" s="44"/>
      <c r="O45" s="16"/>
      <c r="P45" s="17">
        <v>2270.2159999999999</v>
      </c>
      <c r="Q45" s="18"/>
      <c r="R45" s="19"/>
      <c r="S45" s="19"/>
      <c r="T45" s="20"/>
      <c r="U45" s="20"/>
      <c r="V45" s="21"/>
      <c r="W45" s="19"/>
      <c r="X45" s="19"/>
      <c r="Y45" s="19"/>
      <c r="Z45" s="7"/>
      <c r="AA45" s="22"/>
      <c r="AB45" s="22"/>
      <c r="AC45" s="22"/>
      <c r="AD45" s="22"/>
      <c r="AE45" s="10"/>
      <c r="AF45" s="23"/>
      <c r="AG45" s="11"/>
      <c r="AH45" s="28"/>
      <c r="AI45" s="25"/>
    </row>
    <row r="46" spans="1:35" ht="15.75" customHeight="1" x14ac:dyDescent="0.25">
      <c r="A46" s="14">
        <v>1019</v>
      </c>
      <c r="B46" s="15" t="s">
        <v>123</v>
      </c>
      <c r="C46" s="60">
        <v>36927</v>
      </c>
      <c r="D46" s="61" t="s">
        <v>124</v>
      </c>
      <c r="E46" s="62">
        <v>44812</v>
      </c>
      <c r="F46" s="63">
        <v>45208</v>
      </c>
      <c r="G46" s="64">
        <f t="shared" ref="G46:G52" si="7">F46+44</f>
        <v>45252</v>
      </c>
      <c r="H46" s="65">
        <f t="shared" ref="H46:H52" si="8">G46+45</f>
        <v>45297</v>
      </c>
      <c r="I46" s="43" t="s">
        <v>125</v>
      </c>
      <c r="J46" s="43" t="s">
        <v>126</v>
      </c>
      <c r="K46" s="44">
        <v>3195.3</v>
      </c>
      <c r="L46" s="45">
        <v>5.1999999999999998E-2</v>
      </c>
      <c r="M46" s="44">
        <f t="shared" ref="M46:M52" si="9">K46*L46</f>
        <v>166.15559999999999</v>
      </c>
      <c r="N46" s="44">
        <v>3361.46</v>
      </c>
      <c r="O46" s="16"/>
      <c r="P46" s="17">
        <v>3361.4555999999998</v>
      </c>
      <c r="Q46" s="18">
        <v>0.1</v>
      </c>
      <c r="R46" s="19">
        <f t="shared" ref="R46:R77" si="10">P46*Q46</f>
        <v>336.14555999999999</v>
      </c>
      <c r="S46" s="19"/>
      <c r="T46" s="20"/>
      <c r="U46" s="20"/>
      <c r="V46" s="21"/>
      <c r="W46" s="19"/>
      <c r="X46" s="19"/>
      <c r="Y46" s="19"/>
      <c r="Z46" s="7"/>
      <c r="AA46" s="22"/>
      <c r="AB46" s="22"/>
      <c r="AC46" s="22"/>
      <c r="AD46" s="22"/>
      <c r="AE46" s="10"/>
      <c r="AF46" s="23"/>
      <c r="AG46" s="11"/>
      <c r="AH46" s="24"/>
      <c r="AI46" s="25"/>
    </row>
    <row r="47" spans="1:35" ht="15.75" customHeight="1" x14ac:dyDescent="0.25">
      <c r="A47" s="14">
        <v>1104</v>
      </c>
      <c r="B47" s="15" t="s">
        <v>127</v>
      </c>
      <c r="C47" s="60">
        <v>38176</v>
      </c>
      <c r="D47" s="61" t="s">
        <v>128</v>
      </c>
      <c r="E47" s="62">
        <v>45756</v>
      </c>
      <c r="F47" s="63">
        <v>45761</v>
      </c>
      <c r="G47" s="64">
        <f t="shared" si="7"/>
        <v>45805</v>
      </c>
      <c r="H47" s="65">
        <f t="shared" si="8"/>
        <v>45850</v>
      </c>
      <c r="I47" s="43" t="s">
        <v>118</v>
      </c>
      <c r="J47" s="43" t="s">
        <v>126</v>
      </c>
      <c r="K47" s="44">
        <v>2158</v>
      </c>
      <c r="L47" s="45">
        <v>5.1999999999999998E-2</v>
      </c>
      <c r="M47" s="44">
        <f t="shared" si="9"/>
        <v>112.21599999999999</v>
      </c>
      <c r="N47" s="44">
        <v>2497.2399999999998</v>
      </c>
      <c r="O47" s="16"/>
      <c r="P47" s="17">
        <v>2270.2159999999999</v>
      </c>
      <c r="Q47" s="18"/>
      <c r="R47" s="19">
        <f t="shared" si="10"/>
        <v>0</v>
      </c>
      <c r="S47" s="19"/>
      <c r="T47" s="20"/>
      <c r="U47" s="20"/>
      <c r="V47" s="21"/>
      <c r="W47" s="19"/>
      <c r="X47" s="19"/>
      <c r="Y47" s="19"/>
      <c r="Z47" s="7"/>
      <c r="AA47" s="22"/>
      <c r="AB47" s="22"/>
      <c r="AC47" s="22"/>
      <c r="AD47" s="22"/>
      <c r="AE47" s="10"/>
      <c r="AF47" s="23"/>
      <c r="AG47" s="11"/>
      <c r="AH47" s="24"/>
      <c r="AI47" s="25"/>
    </row>
    <row r="48" spans="1:35" ht="15.75" customHeight="1" x14ac:dyDescent="0.25">
      <c r="A48" s="14">
        <v>1194</v>
      </c>
      <c r="B48" s="15" t="s">
        <v>281</v>
      </c>
      <c r="C48" s="60">
        <v>37265</v>
      </c>
      <c r="D48" s="61" t="s">
        <v>129</v>
      </c>
      <c r="E48" s="62"/>
      <c r="F48" s="63">
        <v>45966</v>
      </c>
      <c r="G48" s="64">
        <f t="shared" si="7"/>
        <v>46010</v>
      </c>
      <c r="H48" s="65">
        <f t="shared" si="8"/>
        <v>46055</v>
      </c>
      <c r="I48" s="43" t="s">
        <v>37</v>
      </c>
      <c r="J48" s="43" t="s">
        <v>38</v>
      </c>
      <c r="K48" s="44">
        <v>2158</v>
      </c>
      <c r="L48" s="45">
        <v>5.1999999999999998E-2</v>
      </c>
      <c r="M48" s="44">
        <f t="shared" si="9"/>
        <v>112.21599999999999</v>
      </c>
      <c r="N48" s="44">
        <v>2270.2199999999998</v>
      </c>
      <c r="O48" s="16"/>
      <c r="P48" s="17">
        <v>2270.2159999999999</v>
      </c>
      <c r="Q48" s="18"/>
      <c r="R48" s="19">
        <f t="shared" si="10"/>
        <v>0</v>
      </c>
      <c r="S48" s="19"/>
      <c r="T48" s="20"/>
      <c r="U48" s="20"/>
      <c r="V48" s="21"/>
      <c r="W48" s="19"/>
      <c r="X48" s="19"/>
      <c r="Y48" s="19"/>
      <c r="Z48" s="7"/>
      <c r="AA48" s="22"/>
      <c r="AB48" s="22"/>
      <c r="AC48" s="22"/>
      <c r="AD48" s="22"/>
      <c r="AE48" s="10"/>
      <c r="AF48" s="23"/>
      <c r="AG48" s="11"/>
      <c r="AH48" s="24"/>
      <c r="AI48" s="25"/>
    </row>
    <row r="49" spans="1:35" ht="15.75" customHeight="1" x14ac:dyDescent="0.25">
      <c r="A49" s="14">
        <v>1181</v>
      </c>
      <c r="B49" s="15" t="s">
        <v>130</v>
      </c>
      <c r="C49" s="60">
        <v>36141</v>
      </c>
      <c r="D49" s="61" t="s">
        <v>131</v>
      </c>
      <c r="E49" s="62"/>
      <c r="F49" s="63">
        <v>45929</v>
      </c>
      <c r="G49" s="64">
        <f t="shared" si="7"/>
        <v>45973</v>
      </c>
      <c r="H49" s="65">
        <f t="shared" si="8"/>
        <v>46018</v>
      </c>
      <c r="I49" s="43" t="s">
        <v>37</v>
      </c>
      <c r="J49" s="43" t="s">
        <v>60</v>
      </c>
      <c r="K49" s="44">
        <v>2158</v>
      </c>
      <c r="L49" s="45">
        <v>5.1999999999999998E-2</v>
      </c>
      <c r="M49" s="44">
        <f t="shared" si="9"/>
        <v>112.21599999999999</v>
      </c>
      <c r="N49" s="44">
        <v>2270.2199999999998</v>
      </c>
      <c r="O49" s="31"/>
      <c r="P49" s="17">
        <v>2270.2159999999999</v>
      </c>
      <c r="Q49" s="18"/>
      <c r="R49" s="19">
        <f t="shared" si="10"/>
        <v>0</v>
      </c>
      <c r="S49" s="19"/>
      <c r="T49" s="20"/>
      <c r="U49" s="20"/>
      <c r="V49" s="21"/>
      <c r="W49" s="19"/>
      <c r="X49" s="19"/>
      <c r="Y49" s="19"/>
      <c r="Z49" s="7"/>
      <c r="AA49" s="22"/>
      <c r="AB49" s="22"/>
      <c r="AC49" s="22"/>
      <c r="AD49" s="22"/>
      <c r="AE49" s="10"/>
      <c r="AF49" s="23"/>
      <c r="AG49" s="11"/>
      <c r="AH49" s="24"/>
      <c r="AI49" s="25"/>
    </row>
    <row r="50" spans="1:35" ht="14.25" customHeight="1" x14ac:dyDescent="0.25">
      <c r="A50" s="14">
        <v>1135</v>
      </c>
      <c r="B50" s="15" t="s">
        <v>132</v>
      </c>
      <c r="C50" s="60">
        <v>23787</v>
      </c>
      <c r="D50" s="61" t="s">
        <v>133</v>
      </c>
      <c r="E50" s="62">
        <v>44044</v>
      </c>
      <c r="F50" s="63">
        <v>45820</v>
      </c>
      <c r="G50" s="64">
        <f t="shared" si="7"/>
        <v>45864</v>
      </c>
      <c r="H50" s="65">
        <f t="shared" si="8"/>
        <v>45909</v>
      </c>
      <c r="I50" s="43" t="s">
        <v>37</v>
      </c>
      <c r="J50" s="43" t="s">
        <v>43</v>
      </c>
      <c r="K50" s="44">
        <v>2158</v>
      </c>
      <c r="L50" s="45">
        <v>5.1999999999999998E-2</v>
      </c>
      <c r="M50" s="44">
        <f t="shared" si="9"/>
        <v>112.21599999999999</v>
      </c>
      <c r="N50" s="44">
        <v>2270.2199999999998</v>
      </c>
      <c r="O50" s="16"/>
      <c r="P50" s="17">
        <v>2270.2159999999999</v>
      </c>
      <c r="Q50" s="18">
        <v>0.1</v>
      </c>
      <c r="R50" s="19">
        <f t="shared" si="10"/>
        <v>227.02160000000001</v>
      </c>
      <c r="S50" s="19"/>
      <c r="T50" s="20"/>
      <c r="U50" s="20"/>
      <c r="V50" s="21"/>
      <c r="W50" s="19"/>
      <c r="X50" s="19"/>
      <c r="Y50" s="19"/>
      <c r="Z50" s="7"/>
      <c r="AA50" s="22"/>
      <c r="AB50" s="22"/>
      <c r="AC50" s="22"/>
      <c r="AD50" s="22"/>
      <c r="AE50" s="10"/>
      <c r="AF50" s="23"/>
      <c r="AG50" s="11"/>
      <c r="AH50" s="24"/>
      <c r="AI50" s="25"/>
    </row>
    <row r="51" spans="1:35" ht="14.25" customHeight="1" x14ac:dyDescent="0.25">
      <c r="A51" s="14">
        <v>1172</v>
      </c>
      <c r="B51" s="15" t="s">
        <v>134</v>
      </c>
      <c r="C51" s="60">
        <v>33969</v>
      </c>
      <c r="D51" s="61" t="s">
        <v>135</v>
      </c>
      <c r="E51" s="62"/>
      <c r="F51" s="63">
        <v>45901</v>
      </c>
      <c r="G51" s="64">
        <f t="shared" si="7"/>
        <v>45945</v>
      </c>
      <c r="H51" s="65">
        <f t="shared" si="8"/>
        <v>45990</v>
      </c>
      <c r="I51" s="43" t="s">
        <v>37</v>
      </c>
      <c r="J51" s="43" t="s">
        <v>38</v>
      </c>
      <c r="K51" s="44">
        <v>2158</v>
      </c>
      <c r="L51" s="45">
        <v>5.1999999999999998E-2</v>
      </c>
      <c r="M51" s="44">
        <f t="shared" si="9"/>
        <v>112.21599999999999</v>
      </c>
      <c r="N51" s="44">
        <v>2270.2199999999998</v>
      </c>
      <c r="O51" s="16"/>
      <c r="P51" s="17">
        <v>2270.2159999999999</v>
      </c>
      <c r="Q51" s="18"/>
      <c r="R51" s="19">
        <f t="shared" si="10"/>
        <v>0</v>
      </c>
      <c r="S51" s="19"/>
      <c r="T51" s="20"/>
      <c r="U51" s="20"/>
      <c r="V51" s="21"/>
      <c r="W51" s="19"/>
      <c r="X51" s="19"/>
      <c r="Y51" s="19"/>
      <c r="Z51" s="7"/>
      <c r="AA51" s="22"/>
      <c r="AB51" s="22"/>
      <c r="AC51" s="22"/>
      <c r="AD51" s="22"/>
      <c r="AE51" s="10"/>
      <c r="AF51" s="23"/>
      <c r="AG51" s="11"/>
      <c r="AH51" s="24"/>
      <c r="AI51" s="25"/>
    </row>
    <row r="52" spans="1:35" ht="15.75" customHeight="1" x14ac:dyDescent="0.25">
      <c r="A52" s="14">
        <v>1284</v>
      </c>
      <c r="B52" s="15" t="s">
        <v>282</v>
      </c>
      <c r="C52" s="60">
        <v>39442</v>
      </c>
      <c r="D52" s="61" t="s">
        <v>136</v>
      </c>
      <c r="E52" s="62"/>
      <c r="F52" s="63">
        <v>46181</v>
      </c>
      <c r="G52" s="64">
        <f t="shared" si="7"/>
        <v>46225</v>
      </c>
      <c r="H52" s="65">
        <f t="shared" si="8"/>
        <v>46270</v>
      </c>
      <c r="I52" s="43" t="s">
        <v>37</v>
      </c>
      <c r="J52" s="43" t="s">
        <v>43</v>
      </c>
      <c r="K52" s="44">
        <v>2158</v>
      </c>
      <c r="L52" s="45">
        <v>5.1999999999999998E-2</v>
      </c>
      <c r="M52" s="44">
        <f t="shared" si="9"/>
        <v>112.21599999999999</v>
      </c>
      <c r="N52" s="44">
        <v>2270.2199999999998</v>
      </c>
      <c r="O52" s="16"/>
      <c r="P52" s="17">
        <v>2270.2159999999999</v>
      </c>
      <c r="Q52" s="18"/>
      <c r="R52" s="19">
        <f t="shared" si="10"/>
        <v>0</v>
      </c>
      <c r="S52" s="19"/>
      <c r="T52" s="20"/>
      <c r="U52" s="20"/>
      <c r="V52" s="21"/>
      <c r="W52" s="19"/>
      <c r="X52" s="19"/>
      <c r="Y52" s="19"/>
      <c r="Z52" s="7"/>
      <c r="AA52" s="22"/>
      <c r="AB52" s="22"/>
      <c r="AC52" s="22"/>
      <c r="AD52" s="22"/>
      <c r="AE52" s="10"/>
      <c r="AF52" s="23"/>
      <c r="AG52" s="11"/>
      <c r="AH52" s="24"/>
      <c r="AI52" s="25"/>
    </row>
    <row r="53" spans="1:35" ht="15.75" customHeight="1" x14ac:dyDescent="0.25">
      <c r="A53" s="14"/>
      <c r="B53" s="15" t="s">
        <v>289</v>
      </c>
      <c r="C53" s="60"/>
      <c r="D53" s="61"/>
      <c r="E53" s="62"/>
      <c r="F53" s="63"/>
      <c r="G53" s="64"/>
      <c r="H53" s="65"/>
      <c r="I53" s="43"/>
      <c r="J53" s="43"/>
      <c r="K53" s="44"/>
      <c r="L53" s="45"/>
      <c r="M53" s="44"/>
      <c r="N53" s="44"/>
      <c r="O53" s="16"/>
      <c r="P53" s="17">
        <v>2270.2159999999999</v>
      </c>
      <c r="Q53" s="18"/>
      <c r="R53" s="19">
        <f t="shared" si="10"/>
        <v>0</v>
      </c>
      <c r="S53" s="19"/>
      <c r="T53" s="20"/>
      <c r="U53" s="20"/>
      <c r="V53" s="21"/>
      <c r="W53" s="19"/>
      <c r="X53" s="19"/>
      <c r="Y53" s="19"/>
      <c r="Z53" s="7"/>
      <c r="AA53" s="22"/>
      <c r="AB53" s="22"/>
      <c r="AC53" s="22"/>
      <c r="AD53" s="22"/>
      <c r="AE53" s="10"/>
      <c r="AF53" s="23"/>
      <c r="AG53" s="11"/>
      <c r="AH53" s="28"/>
      <c r="AI53" s="25"/>
    </row>
    <row r="54" spans="1:35" ht="15.75" customHeight="1" x14ac:dyDescent="0.25">
      <c r="A54" s="14">
        <v>1218</v>
      </c>
      <c r="B54" s="15" t="s">
        <v>137</v>
      </c>
      <c r="C54" s="60">
        <v>30394</v>
      </c>
      <c r="D54" s="61" t="s">
        <v>138</v>
      </c>
      <c r="E54" s="62"/>
      <c r="F54" s="63">
        <v>46045</v>
      </c>
      <c r="G54" s="64">
        <f t="shared" ref="G54:G85" si="11">F54+44</f>
        <v>46089</v>
      </c>
      <c r="H54" s="65">
        <f t="shared" ref="H54:H85" si="12">G54+45</f>
        <v>46134</v>
      </c>
      <c r="I54" s="43" t="s">
        <v>37</v>
      </c>
      <c r="J54" s="43" t="s">
        <v>38</v>
      </c>
      <c r="K54" s="44">
        <v>2158</v>
      </c>
      <c r="L54" s="45">
        <v>5.1999999999999998E-2</v>
      </c>
      <c r="M54" s="44">
        <f t="shared" ref="M54:M85" si="13">K54*L54</f>
        <v>112.21599999999999</v>
      </c>
      <c r="N54" s="44">
        <v>2270.2199999999998</v>
      </c>
      <c r="O54" s="16"/>
      <c r="P54" s="17">
        <v>2270.2159999999999</v>
      </c>
      <c r="Q54" s="18"/>
      <c r="R54" s="19">
        <f t="shared" si="10"/>
        <v>0</v>
      </c>
      <c r="S54" s="19"/>
      <c r="T54" s="20"/>
      <c r="U54" s="20"/>
      <c r="V54" s="21"/>
      <c r="W54" s="19"/>
      <c r="X54" s="19"/>
      <c r="Y54" s="19"/>
      <c r="Z54" s="7"/>
      <c r="AA54" s="22"/>
      <c r="AB54" s="22"/>
      <c r="AC54" s="22"/>
      <c r="AD54" s="22"/>
      <c r="AE54" s="10"/>
      <c r="AF54" s="23"/>
      <c r="AG54" s="11"/>
      <c r="AH54" s="24"/>
      <c r="AI54" s="25"/>
    </row>
    <row r="55" spans="1:35" ht="15.75" customHeight="1" x14ac:dyDescent="0.25">
      <c r="A55" s="14">
        <v>1060</v>
      </c>
      <c r="B55" s="15" t="s">
        <v>139</v>
      </c>
      <c r="C55" s="60">
        <v>35833</v>
      </c>
      <c r="D55" s="61" t="s">
        <v>140</v>
      </c>
      <c r="E55" s="62">
        <v>45495</v>
      </c>
      <c r="F55" s="63">
        <v>45530</v>
      </c>
      <c r="G55" s="64">
        <f t="shared" si="11"/>
        <v>45574</v>
      </c>
      <c r="H55" s="65">
        <f t="shared" si="12"/>
        <v>45619</v>
      </c>
      <c r="I55" s="43" t="s">
        <v>37</v>
      </c>
      <c r="J55" s="43" t="s">
        <v>49</v>
      </c>
      <c r="K55" s="44">
        <v>2158</v>
      </c>
      <c r="L55" s="45">
        <v>5.1999999999999998E-2</v>
      </c>
      <c r="M55" s="44">
        <f t="shared" si="13"/>
        <v>112.21599999999999</v>
      </c>
      <c r="N55" s="44">
        <v>2270.2199999999998</v>
      </c>
      <c r="O55" s="16"/>
      <c r="P55" s="17">
        <v>2270.2159999999999</v>
      </c>
      <c r="Q55" s="18">
        <v>0.05</v>
      </c>
      <c r="R55" s="19">
        <f t="shared" si="10"/>
        <v>113.5108</v>
      </c>
      <c r="S55" s="19"/>
      <c r="T55" s="20"/>
      <c r="U55" s="20"/>
      <c r="V55" s="21"/>
      <c r="W55" s="19"/>
      <c r="X55" s="19"/>
      <c r="Y55" s="19"/>
      <c r="Z55" s="7"/>
      <c r="AA55" s="22"/>
      <c r="AB55" s="22"/>
      <c r="AC55" s="22"/>
      <c r="AD55" s="22"/>
      <c r="AE55" s="10"/>
      <c r="AF55" s="23"/>
      <c r="AG55" s="11"/>
      <c r="AH55" s="24"/>
      <c r="AI55" s="25"/>
    </row>
    <row r="56" spans="1:35" ht="15.75" customHeight="1" x14ac:dyDescent="0.25">
      <c r="A56" s="14">
        <v>1273</v>
      </c>
      <c r="B56" s="15" t="s">
        <v>141</v>
      </c>
      <c r="C56" s="60">
        <v>37631</v>
      </c>
      <c r="D56" s="61" t="s">
        <v>142</v>
      </c>
      <c r="E56" s="62"/>
      <c r="F56" s="63">
        <v>46164</v>
      </c>
      <c r="G56" s="64">
        <f t="shared" si="11"/>
        <v>46208</v>
      </c>
      <c r="H56" s="65">
        <f t="shared" si="12"/>
        <v>46253</v>
      </c>
      <c r="I56" s="43" t="s">
        <v>37</v>
      </c>
      <c r="J56" s="43" t="s">
        <v>60</v>
      </c>
      <c r="K56" s="44">
        <v>2158</v>
      </c>
      <c r="L56" s="45">
        <v>5.1999999999999998E-2</v>
      </c>
      <c r="M56" s="44">
        <f t="shared" si="13"/>
        <v>112.21599999999999</v>
      </c>
      <c r="N56" s="44">
        <v>2270.2199999999998</v>
      </c>
      <c r="O56" s="16"/>
      <c r="P56" s="17">
        <v>2270.2159999999999</v>
      </c>
      <c r="Q56" s="18"/>
      <c r="R56" s="19">
        <f t="shared" si="10"/>
        <v>0</v>
      </c>
      <c r="S56" s="19"/>
      <c r="T56" s="20"/>
      <c r="U56" s="20"/>
      <c r="V56" s="21"/>
      <c r="W56" s="19"/>
      <c r="X56" s="19"/>
      <c r="Y56" s="19"/>
      <c r="Z56" s="7"/>
      <c r="AA56" s="22"/>
      <c r="AB56" s="22"/>
      <c r="AC56" s="22"/>
      <c r="AD56" s="22"/>
      <c r="AE56" s="10"/>
      <c r="AF56" s="23"/>
      <c r="AG56" s="11"/>
      <c r="AH56" s="24"/>
      <c r="AI56" s="25"/>
    </row>
    <row r="57" spans="1:35" ht="15.75" customHeight="1" x14ac:dyDescent="0.25">
      <c r="A57" s="14">
        <v>1090</v>
      </c>
      <c r="B57" s="15" t="s">
        <v>143</v>
      </c>
      <c r="C57" s="60">
        <v>36611</v>
      </c>
      <c r="D57" s="61" t="s">
        <v>144</v>
      </c>
      <c r="E57" s="62">
        <v>45733</v>
      </c>
      <c r="F57" s="63">
        <v>45748</v>
      </c>
      <c r="G57" s="64">
        <f t="shared" si="11"/>
        <v>45792</v>
      </c>
      <c r="H57" s="65">
        <f t="shared" si="12"/>
        <v>45837</v>
      </c>
      <c r="I57" s="43" t="s">
        <v>37</v>
      </c>
      <c r="J57" s="43" t="s">
        <v>38</v>
      </c>
      <c r="K57" s="44">
        <v>2158</v>
      </c>
      <c r="L57" s="45">
        <v>5.1999999999999998E-2</v>
      </c>
      <c r="M57" s="44">
        <f t="shared" si="13"/>
        <v>112.21599999999999</v>
      </c>
      <c r="N57" s="44">
        <v>2270.2199999999998</v>
      </c>
      <c r="O57" s="16"/>
      <c r="P57" s="17">
        <v>2270.2159999999999</v>
      </c>
      <c r="Q57" s="18"/>
      <c r="R57" s="19">
        <f t="shared" si="10"/>
        <v>0</v>
      </c>
      <c r="S57" s="19"/>
      <c r="T57" s="20"/>
      <c r="U57" s="20"/>
      <c r="V57" s="21"/>
      <c r="W57" s="19"/>
      <c r="X57" s="19"/>
      <c r="Y57" s="19"/>
      <c r="Z57" s="7"/>
      <c r="AA57" s="22"/>
      <c r="AB57" s="22"/>
      <c r="AC57" s="22"/>
      <c r="AD57" s="22"/>
      <c r="AE57" s="10"/>
      <c r="AF57" s="23"/>
      <c r="AG57" s="11"/>
      <c r="AH57" s="24"/>
      <c r="AI57" s="25"/>
    </row>
    <row r="58" spans="1:35" ht="15.75" customHeight="1" x14ac:dyDescent="0.25">
      <c r="A58" s="14">
        <v>1223</v>
      </c>
      <c r="B58" s="15" t="s">
        <v>145</v>
      </c>
      <c r="C58" s="60">
        <v>32548</v>
      </c>
      <c r="D58" s="61" t="s">
        <v>146</v>
      </c>
      <c r="E58" s="62"/>
      <c r="F58" s="63">
        <v>46052</v>
      </c>
      <c r="G58" s="64">
        <f t="shared" si="11"/>
        <v>46096</v>
      </c>
      <c r="H58" s="65">
        <f t="shared" si="12"/>
        <v>46141</v>
      </c>
      <c r="I58" s="43" t="s">
        <v>147</v>
      </c>
      <c r="J58" s="43" t="s">
        <v>148</v>
      </c>
      <c r="K58" s="44">
        <v>2250</v>
      </c>
      <c r="L58" s="45">
        <v>5.1999999999999998E-2</v>
      </c>
      <c r="M58" s="44">
        <f t="shared" si="13"/>
        <v>117</v>
      </c>
      <c r="N58" s="44">
        <v>2367</v>
      </c>
      <c r="O58" s="16"/>
      <c r="P58" s="17">
        <v>2270.2159999999999</v>
      </c>
      <c r="Q58" s="18"/>
      <c r="R58" s="19">
        <f t="shared" si="10"/>
        <v>0</v>
      </c>
      <c r="S58" s="19"/>
      <c r="T58" s="20"/>
      <c r="U58" s="20"/>
      <c r="V58" s="21"/>
      <c r="W58" s="19"/>
      <c r="X58" s="19"/>
      <c r="Y58" s="19"/>
      <c r="Z58" s="7"/>
      <c r="AA58" s="22"/>
      <c r="AB58" s="22"/>
      <c r="AC58" s="22"/>
      <c r="AD58" s="22"/>
      <c r="AE58" s="10"/>
      <c r="AF58" s="23"/>
      <c r="AG58" s="11"/>
      <c r="AH58" s="24"/>
      <c r="AI58" s="25"/>
    </row>
    <row r="59" spans="1:35" ht="15.75" customHeight="1" x14ac:dyDescent="0.25">
      <c r="A59" s="14">
        <v>1253</v>
      </c>
      <c r="B59" s="15" t="s">
        <v>283</v>
      </c>
      <c r="C59" s="60">
        <v>39248</v>
      </c>
      <c r="D59" s="61" t="s">
        <v>149</v>
      </c>
      <c r="E59" s="62"/>
      <c r="F59" s="63">
        <v>46101</v>
      </c>
      <c r="G59" s="64">
        <f t="shared" si="11"/>
        <v>46145</v>
      </c>
      <c r="H59" s="65">
        <f t="shared" si="12"/>
        <v>46190</v>
      </c>
      <c r="I59" s="43" t="s">
        <v>37</v>
      </c>
      <c r="J59" s="43" t="s">
        <v>126</v>
      </c>
      <c r="K59" s="44">
        <v>2158</v>
      </c>
      <c r="L59" s="45">
        <v>5.1999999999999998E-2</v>
      </c>
      <c r="M59" s="44">
        <f t="shared" si="13"/>
        <v>112.21599999999999</v>
      </c>
      <c r="N59" s="44">
        <v>2270.2199999999998</v>
      </c>
      <c r="O59" s="16"/>
      <c r="P59" s="17">
        <v>2270.2159999999999</v>
      </c>
      <c r="Q59" s="18"/>
      <c r="R59" s="19">
        <f t="shared" si="10"/>
        <v>0</v>
      </c>
      <c r="S59" s="19"/>
      <c r="T59" s="20"/>
      <c r="U59" s="20"/>
      <c r="V59" s="21"/>
      <c r="W59" s="19"/>
      <c r="X59" s="19"/>
      <c r="Y59" s="19"/>
      <c r="Z59" s="7"/>
      <c r="AA59" s="22"/>
      <c r="AB59" s="22"/>
      <c r="AC59" s="22"/>
      <c r="AD59" s="22"/>
      <c r="AE59" s="10"/>
      <c r="AF59" s="23"/>
      <c r="AG59" s="11"/>
      <c r="AH59" s="24"/>
      <c r="AI59" s="25"/>
    </row>
    <row r="60" spans="1:35" ht="15.75" customHeight="1" x14ac:dyDescent="0.25">
      <c r="A60" s="14">
        <v>1213</v>
      </c>
      <c r="B60" s="15" t="s">
        <v>150</v>
      </c>
      <c r="C60" s="60">
        <v>35665</v>
      </c>
      <c r="D60" s="61" t="s">
        <v>151</v>
      </c>
      <c r="E60" s="62"/>
      <c r="F60" s="63">
        <v>46037</v>
      </c>
      <c r="G60" s="64">
        <f t="shared" si="11"/>
        <v>46081</v>
      </c>
      <c r="H60" s="65">
        <f t="shared" si="12"/>
        <v>46126</v>
      </c>
      <c r="I60" s="43" t="s">
        <v>37</v>
      </c>
      <c r="J60" s="47" t="s">
        <v>73</v>
      </c>
      <c r="K60" s="48">
        <v>2158</v>
      </c>
      <c r="L60" s="45">
        <v>5.1999999999999998E-2</v>
      </c>
      <c r="M60" s="44">
        <f t="shared" si="13"/>
        <v>112.21599999999999</v>
      </c>
      <c r="N60" s="44">
        <v>2270.2199999999998</v>
      </c>
      <c r="O60" s="16"/>
      <c r="P60" s="17">
        <v>2270.2159999999999</v>
      </c>
      <c r="Q60" s="18"/>
      <c r="R60" s="19">
        <f t="shared" si="10"/>
        <v>0</v>
      </c>
      <c r="S60" s="19"/>
      <c r="T60" s="20"/>
      <c r="U60" s="20"/>
      <c r="V60" s="21"/>
      <c r="W60" s="19"/>
      <c r="X60" s="19"/>
      <c r="Y60" s="19"/>
      <c r="Z60" s="7"/>
      <c r="AA60" s="22"/>
      <c r="AB60" s="22"/>
      <c r="AC60" s="22"/>
      <c r="AD60" s="22"/>
      <c r="AE60" s="10"/>
      <c r="AF60" s="23"/>
      <c r="AG60" s="11"/>
      <c r="AH60" s="24"/>
      <c r="AI60" s="25"/>
    </row>
    <row r="61" spans="1:35" ht="15.75" customHeight="1" x14ac:dyDescent="0.25">
      <c r="A61" s="14">
        <v>1274</v>
      </c>
      <c r="B61" s="15" t="s">
        <v>152</v>
      </c>
      <c r="C61" s="60">
        <v>37868</v>
      </c>
      <c r="D61" s="61" t="s">
        <v>153</v>
      </c>
      <c r="E61" s="62"/>
      <c r="F61" s="63">
        <v>46171</v>
      </c>
      <c r="G61" s="64">
        <f t="shared" si="11"/>
        <v>46215</v>
      </c>
      <c r="H61" s="65">
        <f t="shared" si="12"/>
        <v>46260</v>
      </c>
      <c r="I61" s="43" t="s">
        <v>37</v>
      </c>
      <c r="J61" s="47" t="s">
        <v>38</v>
      </c>
      <c r="K61" s="48">
        <v>2158</v>
      </c>
      <c r="L61" s="45">
        <v>5.1999999999999998E-2</v>
      </c>
      <c r="M61" s="44">
        <f t="shared" si="13"/>
        <v>112.21599999999999</v>
      </c>
      <c r="N61" s="44">
        <v>2290.7199999999998</v>
      </c>
      <c r="O61" s="16"/>
      <c r="P61" s="17">
        <v>2270.2159999999999</v>
      </c>
      <c r="Q61" s="18"/>
      <c r="R61" s="19">
        <f t="shared" si="10"/>
        <v>0</v>
      </c>
      <c r="S61" s="19"/>
      <c r="T61" s="20"/>
      <c r="U61" s="20"/>
      <c r="V61" s="21"/>
      <c r="W61" s="19"/>
      <c r="X61" s="19"/>
      <c r="Y61" s="19"/>
      <c r="Z61" s="7"/>
      <c r="AA61" s="22"/>
      <c r="AB61" s="22"/>
      <c r="AC61" s="22"/>
      <c r="AD61" s="22"/>
      <c r="AE61" s="10"/>
      <c r="AF61" s="23"/>
      <c r="AG61" s="11"/>
      <c r="AH61" s="24"/>
      <c r="AI61" s="25"/>
    </row>
    <row r="62" spans="1:35" ht="15.75" customHeight="1" x14ac:dyDescent="0.25">
      <c r="A62" s="14">
        <v>1285</v>
      </c>
      <c r="B62" s="15" t="s">
        <v>154</v>
      </c>
      <c r="C62" s="60">
        <v>30273</v>
      </c>
      <c r="D62" s="61" t="s">
        <v>155</v>
      </c>
      <c r="E62" s="62"/>
      <c r="F62" s="63">
        <v>46181</v>
      </c>
      <c r="G62" s="64">
        <f t="shared" si="11"/>
        <v>46225</v>
      </c>
      <c r="H62" s="65">
        <f t="shared" si="12"/>
        <v>46270</v>
      </c>
      <c r="I62" s="43" t="s">
        <v>37</v>
      </c>
      <c r="J62" s="47" t="s">
        <v>38</v>
      </c>
      <c r="K62" s="48">
        <v>2158</v>
      </c>
      <c r="L62" s="45">
        <v>5.1999999999999998E-2</v>
      </c>
      <c r="M62" s="44">
        <f t="shared" si="13"/>
        <v>112.21599999999999</v>
      </c>
      <c r="N62" s="44">
        <v>2270.2199999999998</v>
      </c>
      <c r="O62" s="16"/>
      <c r="P62" s="17">
        <v>2270.2159999999999</v>
      </c>
      <c r="Q62" s="18"/>
      <c r="R62" s="19">
        <f t="shared" si="10"/>
        <v>0</v>
      </c>
      <c r="S62" s="19"/>
      <c r="T62" s="20"/>
      <c r="U62" s="20"/>
      <c r="V62" s="21"/>
      <c r="W62" s="19"/>
      <c r="X62" s="19"/>
      <c r="Y62" s="19"/>
      <c r="Z62" s="7"/>
      <c r="AA62" s="22"/>
      <c r="AB62" s="22"/>
      <c r="AC62" s="22"/>
      <c r="AD62" s="22"/>
      <c r="AE62" s="10"/>
      <c r="AF62" s="23"/>
      <c r="AG62" s="11"/>
      <c r="AH62" s="24"/>
      <c r="AI62" s="25"/>
    </row>
    <row r="63" spans="1:35" ht="15.75" customHeight="1" x14ac:dyDescent="0.25">
      <c r="A63" s="14">
        <v>1222</v>
      </c>
      <c r="B63" s="15" t="s">
        <v>156</v>
      </c>
      <c r="C63" s="60">
        <v>30857</v>
      </c>
      <c r="D63" s="61" t="s">
        <v>157</v>
      </c>
      <c r="E63" s="62"/>
      <c r="F63" s="63">
        <v>46043</v>
      </c>
      <c r="G63" s="64">
        <f t="shared" si="11"/>
        <v>46087</v>
      </c>
      <c r="H63" s="65">
        <f t="shared" si="12"/>
        <v>46132</v>
      </c>
      <c r="I63" s="43" t="s">
        <v>37</v>
      </c>
      <c r="J63" s="47" t="s">
        <v>33</v>
      </c>
      <c r="K63" s="48">
        <v>2158</v>
      </c>
      <c r="L63" s="45">
        <v>5.1999999999999998E-2</v>
      </c>
      <c r="M63" s="44">
        <f t="shared" si="13"/>
        <v>112.21599999999999</v>
      </c>
      <c r="N63" s="44">
        <v>2270.2199999999998</v>
      </c>
      <c r="O63" s="16"/>
      <c r="P63" s="17">
        <v>2270.2159999999999</v>
      </c>
      <c r="Q63" s="18"/>
      <c r="R63" s="19">
        <f t="shared" si="10"/>
        <v>0</v>
      </c>
      <c r="S63" s="19"/>
      <c r="T63" s="20"/>
      <c r="U63" s="20"/>
      <c r="V63" s="21"/>
      <c r="W63" s="19"/>
      <c r="X63" s="19"/>
      <c r="Y63" s="19"/>
      <c r="Z63" s="7"/>
      <c r="AA63" s="22"/>
      <c r="AB63" s="22"/>
      <c r="AC63" s="22"/>
      <c r="AD63" s="22"/>
      <c r="AE63" s="10"/>
      <c r="AF63" s="23"/>
      <c r="AG63" s="11"/>
      <c r="AH63" s="24"/>
      <c r="AI63" s="25"/>
    </row>
    <row r="64" spans="1:35" ht="15.75" customHeight="1" x14ac:dyDescent="0.25">
      <c r="A64" s="14">
        <v>1149</v>
      </c>
      <c r="B64" s="15" t="s">
        <v>158</v>
      </c>
      <c r="C64" s="60">
        <v>28244</v>
      </c>
      <c r="D64" s="61" t="s">
        <v>159</v>
      </c>
      <c r="E64" s="62">
        <v>44652</v>
      </c>
      <c r="F64" s="63">
        <v>45857</v>
      </c>
      <c r="G64" s="64">
        <f t="shared" si="11"/>
        <v>45901</v>
      </c>
      <c r="H64" s="65">
        <f t="shared" si="12"/>
        <v>45946</v>
      </c>
      <c r="I64" s="43" t="s">
        <v>32</v>
      </c>
      <c r="J64" s="43" t="s">
        <v>33</v>
      </c>
      <c r="K64" s="44">
        <v>3195.3</v>
      </c>
      <c r="L64" s="45">
        <v>5.1999999999999998E-2</v>
      </c>
      <c r="M64" s="44">
        <f t="shared" si="13"/>
        <v>166.15559999999999</v>
      </c>
      <c r="N64" s="44">
        <v>3361.45</v>
      </c>
      <c r="O64" s="16"/>
      <c r="P64" s="17">
        <v>3361.4555999999998</v>
      </c>
      <c r="Q64" s="18">
        <v>0.1</v>
      </c>
      <c r="R64" s="19">
        <f t="shared" si="10"/>
        <v>336.14555999999999</v>
      </c>
      <c r="S64" s="19"/>
      <c r="T64" s="20"/>
      <c r="U64" s="20"/>
      <c r="V64" s="21"/>
      <c r="W64" s="32"/>
      <c r="X64" s="32"/>
      <c r="Y64" s="19"/>
      <c r="Z64" s="7"/>
      <c r="AA64" s="32"/>
      <c r="AB64" s="32"/>
      <c r="AC64" s="32"/>
      <c r="AD64" s="32"/>
      <c r="AE64" s="10"/>
      <c r="AF64" s="23"/>
      <c r="AG64" s="11"/>
      <c r="AH64" s="24"/>
      <c r="AI64" s="25"/>
    </row>
    <row r="65" spans="1:35" ht="15.75" customHeight="1" x14ac:dyDescent="0.25">
      <c r="A65" s="14">
        <v>1303</v>
      </c>
      <c r="B65" s="15" t="s">
        <v>160</v>
      </c>
      <c r="C65" s="60">
        <v>37371</v>
      </c>
      <c r="D65" s="61" t="s">
        <v>161</v>
      </c>
      <c r="E65" s="62"/>
      <c r="F65" s="63">
        <v>46218</v>
      </c>
      <c r="G65" s="64">
        <f t="shared" si="11"/>
        <v>46262</v>
      </c>
      <c r="H65" s="65">
        <f t="shared" si="12"/>
        <v>46307</v>
      </c>
      <c r="I65" s="43" t="s">
        <v>37</v>
      </c>
      <c r="J65" s="43" t="s">
        <v>60</v>
      </c>
      <c r="K65" s="44">
        <v>3195.3</v>
      </c>
      <c r="L65" s="45">
        <v>5.1999999999999998E-2</v>
      </c>
      <c r="M65" s="44">
        <f t="shared" si="13"/>
        <v>166.15559999999999</v>
      </c>
      <c r="N65" s="44">
        <v>2270.2199999999998</v>
      </c>
      <c r="O65" s="16"/>
      <c r="P65" s="17">
        <v>2270.2199999999998</v>
      </c>
      <c r="Q65" s="18"/>
      <c r="R65" s="19">
        <f t="shared" si="10"/>
        <v>0</v>
      </c>
      <c r="S65" s="19"/>
      <c r="T65" s="20"/>
      <c r="U65" s="20"/>
      <c r="V65" s="21"/>
      <c r="W65" s="19"/>
      <c r="X65" s="19"/>
      <c r="Y65" s="19"/>
      <c r="Z65" s="7"/>
      <c r="AA65" s="22"/>
      <c r="AB65" s="22"/>
      <c r="AC65" s="22"/>
      <c r="AD65" s="22"/>
      <c r="AE65" s="10"/>
      <c r="AF65" s="23"/>
      <c r="AG65" s="11"/>
      <c r="AH65" s="24"/>
      <c r="AI65" s="25"/>
    </row>
    <row r="66" spans="1:35" ht="15.75" customHeight="1" x14ac:dyDescent="0.25">
      <c r="A66" s="14">
        <v>1152</v>
      </c>
      <c r="B66" s="15" t="s">
        <v>162</v>
      </c>
      <c r="C66" s="60">
        <v>35717</v>
      </c>
      <c r="D66" s="61" t="s">
        <v>163</v>
      </c>
      <c r="E66" s="62"/>
      <c r="F66" s="63">
        <v>45859</v>
      </c>
      <c r="G66" s="64">
        <f t="shared" si="11"/>
        <v>45903</v>
      </c>
      <c r="H66" s="65">
        <f t="shared" si="12"/>
        <v>45948</v>
      </c>
      <c r="I66" s="43" t="s">
        <v>37</v>
      </c>
      <c r="J66" s="43" t="s">
        <v>38</v>
      </c>
      <c r="K66" s="44">
        <v>2158</v>
      </c>
      <c r="L66" s="45">
        <v>5.1999999999999998E-2</v>
      </c>
      <c r="M66" s="44">
        <f t="shared" si="13"/>
        <v>112.21599999999999</v>
      </c>
      <c r="N66" s="44">
        <v>2270.2199999999998</v>
      </c>
      <c r="O66" s="16"/>
      <c r="P66" s="17">
        <v>2270.2159999999999</v>
      </c>
      <c r="Q66" s="18"/>
      <c r="R66" s="19">
        <f t="shared" si="10"/>
        <v>0</v>
      </c>
      <c r="S66" s="19"/>
      <c r="T66" s="20"/>
      <c r="U66" s="20"/>
      <c r="V66" s="21"/>
      <c r="W66" s="19"/>
      <c r="X66" s="19"/>
      <c r="Y66" s="19"/>
      <c r="Z66" s="7"/>
      <c r="AA66" s="22"/>
      <c r="AB66" s="22"/>
      <c r="AC66" s="22"/>
      <c r="AD66" s="22"/>
      <c r="AE66" s="10"/>
      <c r="AF66" s="23"/>
      <c r="AG66" s="11"/>
      <c r="AH66" s="24"/>
      <c r="AI66" s="25"/>
    </row>
    <row r="67" spans="1:35" ht="15" customHeight="1" x14ac:dyDescent="0.25">
      <c r="A67" s="14">
        <v>1231</v>
      </c>
      <c r="B67" s="15" t="s">
        <v>164</v>
      </c>
      <c r="C67" s="60">
        <v>35679</v>
      </c>
      <c r="D67" s="61" t="s">
        <v>165</v>
      </c>
      <c r="E67" s="62"/>
      <c r="F67" s="63">
        <v>46059</v>
      </c>
      <c r="G67" s="64">
        <f t="shared" si="11"/>
        <v>46103</v>
      </c>
      <c r="H67" s="65">
        <f t="shared" si="12"/>
        <v>46148</v>
      </c>
      <c r="I67" s="43" t="s">
        <v>37</v>
      </c>
      <c r="J67" s="43" t="s">
        <v>73</v>
      </c>
      <c r="K67" s="44">
        <v>2158</v>
      </c>
      <c r="L67" s="45">
        <v>5.1999999999999998E-2</v>
      </c>
      <c r="M67" s="44">
        <f t="shared" si="13"/>
        <v>112.21599999999999</v>
      </c>
      <c r="N67" s="44">
        <v>2270.2199999999998</v>
      </c>
      <c r="O67" s="16"/>
      <c r="P67" s="17">
        <v>2270.2159999999999</v>
      </c>
      <c r="Q67" s="18"/>
      <c r="R67" s="19">
        <f t="shared" si="10"/>
        <v>0</v>
      </c>
      <c r="S67" s="19"/>
      <c r="T67" s="20"/>
      <c r="U67" s="20"/>
      <c r="V67" s="21"/>
      <c r="W67" s="19"/>
      <c r="X67" s="19"/>
      <c r="Y67" s="19"/>
      <c r="Z67" s="7"/>
      <c r="AA67" s="22"/>
      <c r="AB67" s="22"/>
      <c r="AC67" s="22"/>
      <c r="AD67" s="22"/>
      <c r="AE67" s="10"/>
      <c r="AF67" s="23"/>
      <c r="AG67" s="11"/>
      <c r="AH67" s="24"/>
      <c r="AI67" s="25"/>
    </row>
    <row r="68" spans="1:35" ht="15.75" customHeight="1" x14ac:dyDescent="0.25">
      <c r="A68" s="14">
        <v>1092</v>
      </c>
      <c r="B68" s="15" t="s">
        <v>166</v>
      </c>
      <c r="C68" s="60">
        <v>37999</v>
      </c>
      <c r="D68" s="61" t="s">
        <v>167</v>
      </c>
      <c r="E68" s="62">
        <v>45733</v>
      </c>
      <c r="F68" s="63">
        <v>45748</v>
      </c>
      <c r="G68" s="64">
        <f t="shared" si="11"/>
        <v>45792</v>
      </c>
      <c r="H68" s="65">
        <f t="shared" si="12"/>
        <v>45837</v>
      </c>
      <c r="I68" s="43" t="s">
        <v>125</v>
      </c>
      <c r="J68" s="43" t="s">
        <v>38</v>
      </c>
      <c r="K68" s="44">
        <v>3195.3</v>
      </c>
      <c r="L68" s="45">
        <v>5.1999999999999998E-2</v>
      </c>
      <c r="M68" s="44">
        <f t="shared" si="13"/>
        <v>166.15559999999999</v>
      </c>
      <c r="N68" s="44">
        <v>3361.45</v>
      </c>
      <c r="O68" s="16"/>
      <c r="P68" s="17">
        <v>3361.4555999999998</v>
      </c>
      <c r="Q68" s="18"/>
      <c r="R68" s="19">
        <f t="shared" si="10"/>
        <v>0</v>
      </c>
      <c r="S68" s="19"/>
      <c r="T68" s="20"/>
      <c r="U68" s="20"/>
      <c r="V68" s="21"/>
      <c r="W68" s="19"/>
      <c r="X68" s="19"/>
      <c r="Y68" s="19"/>
      <c r="Z68" s="7"/>
      <c r="AA68" s="22"/>
      <c r="AB68" s="22"/>
      <c r="AC68" s="22"/>
      <c r="AD68" s="22"/>
      <c r="AE68" s="10"/>
      <c r="AF68" s="23"/>
      <c r="AG68" s="11"/>
      <c r="AH68" s="24"/>
      <c r="AI68" s="25"/>
    </row>
    <row r="69" spans="1:35" ht="15.75" customHeight="1" x14ac:dyDescent="0.25">
      <c r="A69" s="14">
        <v>1286</v>
      </c>
      <c r="B69" s="15" t="s">
        <v>168</v>
      </c>
      <c r="C69" s="60">
        <v>36009</v>
      </c>
      <c r="D69" s="61" t="s">
        <v>169</v>
      </c>
      <c r="E69" s="62"/>
      <c r="F69" s="63">
        <v>46181</v>
      </c>
      <c r="G69" s="64">
        <f t="shared" si="11"/>
        <v>46225</v>
      </c>
      <c r="H69" s="65">
        <f t="shared" si="12"/>
        <v>46270</v>
      </c>
      <c r="I69" s="43" t="s">
        <v>37</v>
      </c>
      <c r="J69" s="43" t="s">
        <v>43</v>
      </c>
      <c r="K69" s="44">
        <v>2158</v>
      </c>
      <c r="L69" s="45">
        <v>5.1999999999999998E-2</v>
      </c>
      <c r="M69" s="44">
        <f t="shared" si="13"/>
        <v>112.21599999999999</v>
      </c>
      <c r="N69" s="44">
        <v>2270.2199999999998</v>
      </c>
      <c r="O69" s="16"/>
      <c r="P69" s="17">
        <v>2270.2159999999999</v>
      </c>
      <c r="Q69" s="18"/>
      <c r="R69" s="19">
        <f t="shared" si="10"/>
        <v>0</v>
      </c>
      <c r="S69" s="19"/>
      <c r="T69" s="20"/>
      <c r="U69" s="20"/>
      <c r="V69" s="21"/>
      <c r="W69" s="19"/>
      <c r="X69" s="19"/>
      <c r="Y69" s="19"/>
      <c r="Z69" s="7"/>
      <c r="AA69" s="22"/>
      <c r="AB69" s="22"/>
      <c r="AC69" s="22"/>
      <c r="AD69" s="22"/>
      <c r="AE69" s="10"/>
      <c r="AF69" s="23"/>
      <c r="AG69" s="11"/>
      <c r="AH69" s="24"/>
      <c r="AI69" s="25"/>
    </row>
    <row r="70" spans="1:35" ht="15.75" customHeight="1" x14ac:dyDescent="0.25">
      <c r="A70" s="14">
        <v>1132</v>
      </c>
      <c r="B70" s="15" t="s">
        <v>170</v>
      </c>
      <c r="C70" s="60">
        <v>34958</v>
      </c>
      <c r="D70" s="61" t="s">
        <v>171</v>
      </c>
      <c r="E70" s="62">
        <v>45684</v>
      </c>
      <c r="F70" s="63">
        <v>45810</v>
      </c>
      <c r="G70" s="64">
        <f t="shared" si="11"/>
        <v>45854</v>
      </c>
      <c r="H70" s="65">
        <f t="shared" si="12"/>
        <v>45899</v>
      </c>
      <c r="I70" s="43" t="s">
        <v>172</v>
      </c>
      <c r="J70" s="43" t="s">
        <v>173</v>
      </c>
      <c r="K70" s="44">
        <v>3195</v>
      </c>
      <c r="L70" s="45">
        <v>5.1999999999999998E-2</v>
      </c>
      <c r="M70" s="44">
        <f t="shared" si="13"/>
        <v>166.14</v>
      </c>
      <c r="N70" s="44">
        <v>3700</v>
      </c>
      <c r="O70" s="16"/>
      <c r="P70" s="17">
        <v>3361.14</v>
      </c>
      <c r="Q70" s="18"/>
      <c r="R70" s="19">
        <f t="shared" si="10"/>
        <v>0</v>
      </c>
      <c r="S70" s="19"/>
      <c r="T70" s="20"/>
      <c r="U70" s="20"/>
      <c r="V70" s="21"/>
      <c r="W70" s="19"/>
      <c r="X70" s="19"/>
      <c r="Y70" s="19"/>
      <c r="Z70" s="7"/>
      <c r="AA70" s="22"/>
      <c r="AB70" s="22"/>
      <c r="AC70" s="22"/>
      <c r="AD70" s="22"/>
      <c r="AE70" s="10"/>
      <c r="AF70" s="23"/>
      <c r="AG70" s="11"/>
      <c r="AH70" s="24"/>
      <c r="AI70" s="25"/>
    </row>
    <row r="71" spans="1:35" ht="15.75" customHeight="1" x14ac:dyDescent="0.25">
      <c r="A71" s="14">
        <v>1300</v>
      </c>
      <c r="B71" s="15" t="s">
        <v>174</v>
      </c>
      <c r="C71" s="60">
        <v>38937</v>
      </c>
      <c r="D71" s="61" t="s">
        <v>175</v>
      </c>
      <c r="E71" s="62"/>
      <c r="F71" s="63">
        <v>46218</v>
      </c>
      <c r="G71" s="64">
        <f t="shared" si="11"/>
        <v>46262</v>
      </c>
      <c r="H71" s="65">
        <f t="shared" si="12"/>
        <v>46307</v>
      </c>
      <c r="I71" s="43" t="s">
        <v>37</v>
      </c>
      <c r="J71" s="43" t="s">
        <v>126</v>
      </c>
      <c r="K71" s="44">
        <v>2158</v>
      </c>
      <c r="L71" s="45">
        <v>5.1999999999999998E-2</v>
      </c>
      <c r="M71" s="44">
        <f t="shared" si="13"/>
        <v>112.21599999999999</v>
      </c>
      <c r="N71" s="44">
        <v>2270.2199999999998</v>
      </c>
      <c r="O71" s="16"/>
      <c r="P71" s="17">
        <v>2270.2199999999998</v>
      </c>
      <c r="Q71" s="18"/>
      <c r="R71" s="19">
        <f t="shared" si="10"/>
        <v>0</v>
      </c>
      <c r="S71" s="19"/>
      <c r="T71" s="20"/>
      <c r="U71" s="20"/>
      <c r="V71" s="21"/>
      <c r="W71" s="19"/>
      <c r="X71" s="19"/>
      <c r="Y71" s="19"/>
      <c r="Z71" s="7"/>
      <c r="AA71" s="22"/>
      <c r="AB71" s="22"/>
      <c r="AC71" s="22"/>
      <c r="AD71" s="22"/>
      <c r="AE71" s="10"/>
      <c r="AF71" s="23"/>
      <c r="AG71" s="11"/>
      <c r="AH71" s="24"/>
      <c r="AI71" s="25"/>
    </row>
    <row r="72" spans="1:35" ht="15.75" customHeight="1" x14ac:dyDescent="0.25">
      <c r="A72" s="14">
        <v>1251</v>
      </c>
      <c r="B72" s="15" t="s">
        <v>284</v>
      </c>
      <c r="C72" s="60">
        <v>39302</v>
      </c>
      <c r="D72" s="61" t="s">
        <v>176</v>
      </c>
      <c r="E72" s="62"/>
      <c r="F72" s="63">
        <v>46101</v>
      </c>
      <c r="G72" s="64">
        <f t="shared" si="11"/>
        <v>46145</v>
      </c>
      <c r="H72" s="65">
        <f t="shared" si="12"/>
        <v>46190</v>
      </c>
      <c r="I72" s="43" t="s">
        <v>37</v>
      </c>
      <c r="J72" s="43" t="s">
        <v>73</v>
      </c>
      <c r="K72" s="44">
        <v>2158</v>
      </c>
      <c r="L72" s="45">
        <v>5.1999999999999998E-2</v>
      </c>
      <c r="M72" s="44">
        <f t="shared" si="13"/>
        <v>112.21599999999999</v>
      </c>
      <c r="N72" s="44">
        <v>2270.2199999999998</v>
      </c>
      <c r="O72" s="16"/>
      <c r="P72" s="17">
        <v>2270.2159999999999</v>
      </c>
      <c r="Q72" s="18"/>
      <c r="R72" s="19">
        <f t="shared" si="10"/>
        <v>0</v>
      </c>
      <c r="S72" s="19"/>
      <c r="T72" s="20"/>
      <c r="U72" s="20"/>
      <c r="V72" s="21"/>
      <c r="W72" s="19"/>
      <c r="X72" s="19"/>
      <c r="Y72" s="19"/>
      <c r="Z72" s="7"/>
      <c r="AA72" s="22"/>
      <c r="AB72" s="22"/>
      <c r="AC72" s="22"/>
      <c r="AD72" s="22"/>
      <c r="AE72" s="10"/>
      <c r="AF72" s="23"/>
      <c r="AG72" s="11"/>
      <c r="AH72" s="24"/>
      <c r="AI72" s="25"/>
    </row>
    <row r="73" spans="1:35" ht="15.75" customHeight="1" x14ac:dyDescent="0.25">
      <c r="A73" s="14">
        <v>1258</v>
      </c>
      <c r="B73" s="15" t="s">
        <v>177</v>
      </c>
      <c r="C73" s="60">
        <v>37132</v>
      </c>
      <c r="D73" s="61" t="s">
        <v>178</v>
      </c>
      <c r="E73" s="62"/>
      <c r="F73" s="63">
        <v>46101</v>
      </c>
      <c r="G73" s="64">
        <f t="shared" si="11"/>
        <v>46145</v>
      </c>
      <c r="H73" s="65">
        <f t="shared" si="12"/>
        <v>46190</v>
      </c>
      <c r="I73" s="43" t="s">
        <v>37</v>
      </c>
      <c r="J73" s="43" t="s">
        <v>38</v>
      </c>
      <c r="K73" s="44">
        <v>2158</v>
      </c>
      <c r="L73" s="45">
        <v>5.1999999999999998E-2</v>
      </c>
      <c r="M73" s="44">
        <f t="shared" si="13"/>
        <v>112.21599999999999</v>
      </c>
      <c r="N73" s="44">
        <v>2270.2199999999998</v>
      </c>
      <c r="O73" s="16"/>
      <c r="P73" s="17">
        <v>2270.2159999999999</v>
      </c>
      <c r="Q73" s="18"/>
      <c r="R73" s="19">
        <f t="shared" si="10"/>
        <v>0</v>
      </c>
      <c r="S73" s="19"/>
      <c r="T73" s="20"/>
      <c r="U73" s="20"/>
      <c r="V73" s="21"/>
      <c r="W73" s="19"/>
      <c r="X73" s="19"/>
      <c r="Y73" s="19"/>
      <c r="Z73" s="7"/>
      <c r="AA73" s="22"/>
      <c r="AB73" s="22"/>
      <c r="AC73" s="22"/>
      <c r="AD73" s="22"/>
      <c r="AE73" s="10"/>
      <c r="AF73" s="23"/>
      <c r="AG73" s="11"/>
      <c r="AH73" s="24"/>
      <c r="AI73" s="25"/>
    </row>
    <row r="74" spans="1:35" ht="15.75" customHeight="1" x14ac:dyDescent="0.25">
      <c r="A74" s="14">
        <v>1276</v>
      </c>
      <c r="B74" s="15" t="s">
        <v>179</v>
      </c>
      <c r="C74" s="60">
        <v>35995</v>
      </c>
      <c r="D74" s="61" t="s">
        <v>180</v>
      </c>
      <c r="E74" s="62"/>
      <c r="F74" s="63">
        <v>46171</v>
      </c>
      <c r="G74" s="64">
        <f t="shared" si="11"/>
        <v>46215</v>
      </c>
      <c r="H74" s="65">
        <f t="shared" si="12"/>
        <v>46260</v>
      </c>
      <c r="I74" s="43" t="s">
        <v>37</v>
      </c>
      <c r="J74" s="43" t="s">
        <v>38</v>
      </c>
      <c r="K74" s="44">
        <v>2158</v>
      </c>
      <c r="L74" s="45">
        <v>5.1999999999999998E-2</v>
      </c>
      <c r="M74" s="44">
        <f t="shared" si="13"/>
        <v>112.21599999999999</v>
      </c>
      <c r="N74" s="44">
        <v>2290.7199999999998</v>
      </c>
      <c r="O74" s="16"/>
      <c r="P74" s="17">
        <v>2270.2159999999999</v>
      </c>
      <c r="Q74" s="18"/>
      <c r="R74" s="19">
        <f t="shared" si="10"/>
        <v>0</v>
      </c>
      <c r="S74" s="19"/>
      <c r="T74" s="20"/>
      <c r="U74" s="20"/>
      <c r="V74" s="21"/>
      <c r="W74" s="19"/>
      <c r="X74" s="19"/>
      <c r="Y74" s="19"/>
      <c r="Z74" s="7"/>
      <c r="AA74" s="22"/>
      <c r="AB74" s="22"/>
      <c r="AC74" s="22"/>
      <c r="AD74" s="22"/>
      <c r="AE74" s="10"/>
      <c r="AF74" s="23"/>
      <c r="AG74" s="11"/>
      <c r="AH74" s="24"/>
      <c r="AI74" s="25"/>
    </row>
    <row r="75" spans="1:35" ht="15.75" customHeight="1" x14ac:dyDescent="0.25">
      <c r="A75" s="14">
        <v>1246</v>
      </c>
      <c r="B75" s="15" t="s">
        <v>276</v>
      </c>
      <c r="C75" s="60">
        <v>38227</v>
      </c>
      <c r="D75" s="61" t="s">
        <v>181</v>
      </c>
      <c r="E75" s="62"/>
      <c r="F75" s="63">
        <v>46087</v>
      </c>
      <c r="G75" s="64">
        <f t="shared" si="11"/>
        <v>46131</v>
      </c>
      <c r="H75" s="65">
        <f t="shared" si="12"/>
        <v>46176</v>
      </c>
      <c r="I75" s="43" t="s">
        <v>37</v>
      </c>
      <c r="J75" s="43" t="s">
        <v>43</v>
      </c>
      <c r="K75" s="44">
        <v>2158</v>
      </c>
      <c r="L75" s="45">
        <v>5.1999999999999998E-2</v>
      </c>
      <c r="M75" s="44">
        <f t="shared" si="13"/>
        <v>112.21599999999999</v>
      </c>
      <c r="N75" s="44">
        <v>2270.2199999999998</v>
      </c>
      <c r="O75" s="16"/>
      <c r="P75" s="17">
        <v>2270.2159999999999</v>
      </c>
      <c r="Q75" s="18"/>
      <c r="R75" s="19">
        <f t="shared" si="10"/>
        <v>0</v>
      </c>
      <c r="S75" s="19"/>
      <c r="T75" s="20"/>
      <c r="U75" s="20"/>
      <c r="V75" s="21"/>
      <c r="W75" s="19"/>
      <c r="X75" s="19"/>
      <c r="Y75" s="19"/>
      <c r="Z75" s="7"/>
      <c r="AA75" s="22"/>
      <c r="AB75" s="22"/>
      <c r="AC75" s="22"/>
      <c r="AD75" s="22"/>
      <c r="AE75" s="10"/>
      <c r="AF75" s="23"/>
      <c r="AG75" s="11"/>
      <c r="AH75" s="24"/>
      <c r="AI75" s="25"/>
    </row>
    <row r="76" spans="1:35" ht="15" customHeight="1" x14ac:dyDescent="0.25">
      <c r="A76" s="14">
        <v>1207</v>
      </c>
      <c r="B76" s="15" t="s">
        <v>182</v>
      </c>
      <c r="C76" s="60">
        <v>34094</v>
      </c>
      <c r="D76" s="61" t="s">
        <v>183</v>
      </c>
      <c r="E76" s="62"/>
      <c r="F76" s="63">
        <v>46037</v>
      </c>
      <c r="G76" s="64">
        <f t="shared" si="11"/>
        <v>46081</v>
      </c>
      <c r="H76" s="65">
        <f t="shared" si="12"/>
        <v>46126</v>
      </c>
      <c r="I76" s="43" t="s">
        <v>37</v>
      </c>
      <c r="J76" s="43" t="s">
        <v>73</v>
      </c>
      <c r="K76" s="44">
        <v>2158</v>
      </c>
      <c r="L76" s="45">
        <v>5.1999999999999998E-2</v>
      </c>
      <c r="M76" s="44">
        <f t="shared" si="13"/>
        <v>112.21599999999999</v>
      </c>
      <c r="N76" s="44">
        <v>2270.2199999999998</v>
      </c>
      <c r="O76" s="16"/>
      <c r="P76" s="17">
        <v>2270.2159999999999</v>
      </c>
      <c r="Q76" s="18"/>
      <c r="R76" s="19">
        <f t="shared" si="10"/>
        <v>0</v>
      </c>
      <c r="S76" s="19"/>
      <c r="T76" s="20"/>
      <c r="U76" s="20"/>
      <c r="V76" s="21"/>
      <c r="W76" s="19"/>
      <c r="X76" s="19"/>
      <c r="Y76" s="19"/>
      <c r="Z76" s="7"/>
      <c r="AA76" s="22"/>
      <c r="AB76" s="22"/>
      <c r="AC76" s="22"/>
      <c r="AD76" s="22"/>
      <c r="AE76" s="10"/>
      <c r="AF76" s="23"/>
      <c r="AG76" s="11"/>
      <c r="AH76" s="24"/>
      <c r="AI76" s="25"/>
    </row>
    <row r="77" spans="1:35" ht="15.75" customHeight="1" x14ac:dyDescent="0.25">
      <c r="A77" s="14">
        <v>1203</v>
      </c>
      <c r="B77" s="15" t="s">
        <v>184</v>
      </c>
      <c r="C77" s="60">
        <v>37153</v>
      </c>
      <c r="D77" s="61" t="s">
        <v>185</v>
      </c>
      <c r="E77" s="62"/>
      <c r="F77" s="63">
        <v>45992</v>
      </c>
      <c r="G77" s="64">
        <f t="shared" si="11"/>
        <v>46036</v>
      </c>
      <c r="H77" s="65">
        <f t="shared" si="12"/>
        <v>46081</v>
      </c>
      <c r="I77" s="43" t="s">
        <v>37</v>
      </c>
      <c r="J77" s="43" t="s">
        <v>73</v>
      </c>
      <c r="K77" s="44">
        <v>2158</v>
      </c>
      <c r="L77" s="45">
        <v>5.1999999999999998E-2</v>
      </c>
      <c r="M77" s="44">
        <f t="shared" si="13"/>
        <v>112.21599999999999</v>
      </c>
      <c r="N77" s="44">
        <v>2270.2199999999998</v>
      </c>
      <c r="O77" s="16"/>
      <c r="P77" s="17">
        <v>2270.2159999999999</v>
      </c>
      <c r="Q77" s="18"/>
      <c r="R77" s="19">
        <f t="shared" si="10"/>
        <v>0</v>
      </c>
      <c r="S77" s="19"/>
      <c r="T77" s="20"/>
      <c r="U77" s="20"/>
      <c r="V77" s="21"/>
      <c r="W77" s="19"/>
      <c r="X77" s="19"/>
      <c r="Y77" s="19"/>
      <c r="Z77" s="7"/>
      <c r="AA77" s="22"/>
      <c r="AB77" s="22"/>
      <c r="AC77" s="22"/>
      <c r="AD77" s="22"/>
      <c r="AE77" s="10"/>
      <c r="AF77" s="23"/>
      <c r="AG77" s="11"/>
      <c r="AH77" s="24"/>
      <c r="AI77" s="25"/>
    </row>
    <row r="78" spans="1:35" ht="15.75" customHeight="1" x14ac:dyDescent="0.25">
      <c r="A78" s="14">
        <v>1155</v>
      </c>
      <c r="B78" s="15" t="s">
        <v>186</v>
      </c>
      <c r="C78" s="60">
        <v>29892</v>
      </c>
      <c r="D78" s="61" t="s">
        <v>187</v>
      </c>
      <c r="E78" s="62"/>
      <c r="F78" s="63">
        <v>45862</v>
      </c>
      <c r="G78" s="64">
        <f t="shared" si="11"/>
        <v>45906</v>
      </c>
      <c r="H78" s="65">
        <f t="shared" si="12"/>
        <v>45951</v>
      </c>
      <c r="I78" s="43" t="s">
        <v>37</v>
      </c>
      <c r="J78" s="43" t="s">
        <v>38</v>
      </c>
      <c r="K78" s="44">
        <v>2158</v>
      </c>
      <c r="L78" s="45">
        <v>5.1999999999999998E-2</v>
      </c>
      <c r="M78" s="44">
        <f t="shared" si="13"/>
        <v>112.21599999999999</v>
      </c>
      <c r="N78" s="44">
        <v>2270.2199999999998</v>
      </c>
      <c r="O78" s="16"/>
      <c r="P78" s="17">
        <v>2270.2159999999999</v>
      </c>
      <c r="Q78" s="18"/>
      <c r="R78" s="19">
        <f t="shared" ref="R78:R109" si="14">P78*Q78</f>
        <v>0</v>
      </c>
      <c r="S78" s="19"/>
      <c r="T78" s="20"/>
      <c r="U78" s="20"/>
      <c r="V78" s="21"/>
      <c r="W78" s="19"/>
      <c r="X78" s="19"/>
      <c r="Y78" s="19"/>
      <c r="Z78" s="7"/>
      <c r="AA78" s="22"/>
      <c r="AB78" s="22"/>
      <c r="AC78" s="22"/>
      <c r="AD78" s="22"/>
      <c r="AE78" s="10"/>
      <c r="AF78" s="23"/>
      <c r="AG78" s="11"/>
      <c r="AH78" s="24"/>
      <c r="AI78" s="25"/>
    </row>
    <row r="79" spans="1:35" ht="15.75" customHeight="1" x14ac:dyDescent="0.25">
      <c r="A79" s="14">
        <v>1015</v>
      </c>
      <c r="B79" s="15" t="s">
        <v>188</v>
      </c>
      <c r="C79" s="60">
        <v>36728</v>
      </c>
      <c r="D79" s="61" t="s">
        <v>189</v>
      </c>
      <c r="E79" s="62">
        <v>44805</v>
      </c>
      <c r="F79" s="63">
        <v>45162</v>
      </c>
      <c r="G79" s="64">
        <f t="shared" si="11"/>
        <v>45206</v>
      </c>
      <c r="H79" s="65">
        <f t="shared" si="12"/>
        <v>45251</v>
      </c>
      <c r="I79" s="43" t="s">
        <v>118</v>
      </c>
      <c r="J79" s="43" t="s">
        <v>126</v>
      </c>
      <c r="K79" s="44">
        <v>2373.8000000000002</v>
      </c>
      <c r="L79" s="45">
        <v>5.1999999999999998E-2</v>
      </c>
      <c r="M79" s="44">
        <f t="shared" si="13"/>
        <v>123.4376</v>
      </c>
      <c r="N79" s="44">
        <v>2497.2399999999998</v>
      </c>
      <c r="O79" s="16"/>
      <c r="P79" s="17">
        <v>2497.2375999999999</v>
      </c>
      <c r="Q79" s="18">
        <v>0.05</v>
      </c>
      <c r="R79" s="19">
        <f t="shared" si="14"/>
        <v>124.86188</v>
      </c>
      <c r="S79" s="19"/>
      <c r="T79" s="20"/>
      <c r="U79" s="20"/>
      <c r="V79" s="21"/>
      <c r="W79" s="19"/>
      <c r="X79" s="19"/>
      <c r="Y79" s="19"/>
      <c r="Z79" s="7"/>
      <c r="AA79" s="22"/>
      <c r="AB79" s="22"/>
      <c r="AC79" s="22"/>
      <c r="AD79" s="22"/>
      <c r="AE79" s="10"/>
      <c r="AF79" s="23"/>
      <c r="AG79" s="11"/>
      <c r="AH79" s="24"/>
      <c r="AI79" s="25"/>
    </row>
    <row r="80" spans="1:35" ht="15.75" customHeight="1" x14ac:dyDescent="0.25">
      <c r="A80" s="14">
        <v>1267</v>
      </c>
      <c r="B80" s="15" t="s">
        <v>190</v>
      </c>
      <c r="C80" s="60">
        <v>30690</v>
      </c>
      <c r="D80" s="61" t="s">
        <v>191</v>
      </c>
      <c r="E80" s="62"/>
      <c r="F80" s="63">
        <v>46153</v>
      </c>
      <c r="G80" s="64">
        <f t="shared" si="11"/>
        <v>46197</v>
      </c>
      <c r="H80" s="65">
        <f t="shared" si="12"/>
        <v>46242</v>
      </c>
      <c r="I80" s="43" t="s">
        <v>37</v>
      </c>
      <c r="J80" s="43" t="s">
        <v>43</v>
      </c>
      <c r="K80" s="44">
        <v>2158</v>
      </c>
      <c r="L80" s="45">
        <v>5.1999999999999998E-2</v>
      </c>
      <c r="M80" s="44">
        <f t="shared" si="13"/>
        <v>112.21599999999999</v>
      </c>
      <c r="N80" s="44">
        <v>2270.2199999999998</v>
      </c>
      <c r="O80" s="16"/>
      <c r="P80" s="33">
        <v>2270.2159999999999</v>
      </c>
      <c r="Q80" s="34"/>
      <c r="R80" s="19">
        <f t="shared" si="14"/>
        <v>0</v>
      </c>
      <c r="S80" s="19"/>
      <c r="T80" s="20"/>
      <c r="U80" s="20"/>
      <c r="V80" s="21"/>
      <c r="W80" s="19"/>
      <c r="X80" s="19"/>
      <c r="Y80" s="19"/>
      <c r="Z80" s="7"/>
      <c r="AA80" s="22"/>
      <c r="AB80" s="22"/>
      <c r="AC80" s="22"/>
      <c r="AD80" s="22"/>
      <c r="AE80" s="10"/>
      <c r="AF80" s="23"/>
      <c r="AG80" s="11"/>
      <c r="AH80" s="24"/>
      <c r="AI80" s="25"/>
    </row>
    <row r="81" spans="1:35" ht="15.75" customHeight="1" x14ac:dyDescent="0.25">
      <c r="A81" s="14">
        <v>1130</v>
      </c>
      <c r="B81" s="15" t="s">
        <v>192</v>
      </c>
      <c r="C81" s="60">
        <v>32401</v>
      </c>
      <c r="D81" s="61" t="s">
        <v>193</v>
      </c>
      <c r="E81" s="62">
        <v>44316</v>
      </c>
      <c r="F81" s="63">
        <v>45814</v>
      </c>
      <c r="G81" s="64">
        <f t="shared" si="11"/>
        <v>45858</v>
      </c>
      <c r="H81" s="65">
        <f t="shared" si="12"/>
        <v>45903</v>
      </c>
      <c r="I81" s="43" t="s">
        <v>194</v>
      </c>
      <c r="J81" s="43" t="s">
        <v>43</v>
      </c>
      <c r="K81" s="44">
        <v>3727.85</v>
      </c>
      <c r="L81" s="45">
        <v>5.1999999999999998E-2</v>
      </c>
      <c r="M81" s="44">
        <f t="shared" si="13"/>
        <v>193.84819999999999</v>
      </c>
      <c r="N81" s="44">
        <v>3921.7</v>
      </c>
      <c r="O81" s="16"/>
      <c r="P81" s="33">
        <v>3921.6981999999998</v>
      </c>
      <c r="Q81" s="34">
        <v>0.1</v>
      </c>
      <c r="R81" s="19">
        <f t="shared" si="14"/>
        <v>392.16982000000002</v>
      </c>
      <c r="S81" s="19"/>
      <c r="T81" s="20"/>
      <c r="U81" s="20"/>
      <c r="V81" s="21"/>
      <c r="W81" s="19"/>
      <c r="X81" s="19"/>
      <c r="Y81" s="19"/>
      <c r="Z81" s="7"/>
      <c r="AA81" s="22"/>
      <c r="AB81" s="22"/>
      <c r="AC81" s="22"/>
      <c r="AD81" s="22"/>
      <c r="AE81" s="10"/>
      <c r="AF81" s="23"/>
      <c r="AG81" s="11"/>
      <c r="AH81" s="24"/>
      <c r="AI81" s="25"/>
    </row>
    <row r="82" spans="1:35" ht="15.75" customHeight="1" x14ac:dyDescent="0.25">
      <c r="A82" s="14">
        <v>1238</v>
      </c>
      <c r="B82" s="15" t="s">
        <v>195</v>
      </c>
      <c r="C82" s="60">
        <v>33766</v>
      </c>
      <c r="D82" s="61" t="s">
        <v>196</v>
      </c>
      <c r="E82" s="62"/>
      <c r="F82" s="63">
        <v>46080</v>
      </c>
      <c r="G82" s="64">
        <f t="shared" si="11"/>
        <v>46124</v>
      </c>
      <c r="H82" s="65">
        <f t="shared" si="12"/>
        <v>46169</v>
      </c>
      <c r="I82" s="43" t="s">
        <v>37</v>
      </c>
      <c r="J82" s="43" t="s">
        <v>197</v>
      </c>
      <c r="K82" s="44">
        <v>2158</v>
      </c>
      <c r="L82" s="45">
        <v>5.1999999999999998E-2</v>
      </c>
      <c r="M82" s="44">
        <f t="shared" si="13"/>
        <v>112.21599999999999</v>
      </c>
      <c r="N82" s="44">
        <v>2270.2199999999998</v>
      </c>
      <c r="O82" s="16"/>
      <c r="P82" s="33">
        <v>2270.2159999999999</v>
      </c>
      <c r="Q82" s="34"/>
      <c r="R82" s="19">
        <f t="shared" si="14"/>
        <v>0</v>
      </c>
      <c r="S82" s="19"/>
      <c r="T82" s="20"/>
      <c r="U82" s="20"/>
      <c r="V82" s="21"/>
      <c r="W82" s="19"/>
      <c r="X82" s="19"/>
      <c r="Y82" s="19"/>
      <c r="Z82" s="7"/>
      <c r="AA82" s="22"/>
      <c r="AB82" s="22"/>
      <c r="AC82" s="22"/>
      <c r="AD82" s="22"/>
      <c r="AE82" s="10"/>
      <c r="AF82" s="23"/>
      <c r="AG82" s="11"/>
      <c r="AH82" s="24"/>
      <c r="AI82" s="25"/>
    </row>
    <row r="83" spans="1:35" ht="15.75" customHeight="1" x14ac:dyDescent="0.25">
      <c r="A83" s="14">
        <v>1153</v>
      </c>
      <c r="B83" s="15" t="s">
        <v>198</v>
      </c>
      <c r="C83" s="60">
        <v>32151</v>
      </c>
      <c r="D83" s="61" t="s">
        <v>199</v>
      </c>
      <c r="E83" s="62">
        <v>44228</v>
      </c>
      <c r="F83" s="63">
        <v>45862</v>
      </c>
      <c r="G83" s="64">
        <f t="shared" si="11"/>
        <v>45906</v>
      </c>
      <c r="H83" s="65">
        <f t="shared" si="12"/>
        <v>45951</v>
      </c>
      <c r="I83" s="43" t="s">
        <v>37</v>
      </c>
      <c r="J83" s="43" t="s">
        <v>33</v>
      </c>
      <c r="K83" s="44">
        <v>2158</v>
      </c>
      <c r="L83" s="45">
        <v>5.1999999999999998E-2</v>
      </c>
      <c r="M83" s="44">
        <f t="shared" si="13"/>
        <v>112.21599999999999</v>
      </c>
      <c r="N83" s="44">
        <v>2270.2199999999998</v>
      </c>
      <c r="O83" s="16"/>
      <c r="P83" s="33">
        <v>2270.2159999999999</v>
      </c>
      <c r="Q83" s="34">
        <v>0.15</v>
      </c>
      <c r="R83" s="19">
        <f t="shared" si="14"/>
        <v>340.5324</v>
      </c>
      <c r="S83" s="19"/>
      <c r="T83" s="20"/>
      <c r="U83" s="20"/>
      <c r="V83" s="21"/>
      <c r="W83" s="19"/>
      <c r="X83" s="19"/>
      <c r="Y83" s="19"/>
      <c r="Z83" s="7"/>
      <c r="AA83" s="22"/>
      <c r="AB83" s="22"/>
      <c r="AC83" s="22"/>
      <c r="AD83" s="22"/>
      <c r="AE83" s="10"/>
      <c r="AF83" s="23"/>
      <c r="AG83" s="11"/>
      <c r="AH83" s="24"/>
      <c r="AI83" s="25"/>
    </row>
    <row r="84" spans="1:35" ht="15.75" customHeight="1" x14ac:dyDescent="0.25">
      <c r="A84" s="14">
        <v>1302</v>
      </c>
      <c r="B84" s="15" t="s">
        <v>200</v>
      </c>
      <c r="C84" s="60">
        <v>30568</v>
      </c>
      <c r="D84" s="61" t="s">
        <v>201</v>
      </c>
      <c r="E84" s="62"/>
      <c r="F84" s="63">
        <v>46218</v>
      </c>
      <c r="G84" s="64">
        <f t="shared" si="11"/>
        <v>46262</v>
      </c>
      <c r="H84" s="65">
        <f t="shared" si="12"/>
        <v>46307</v>
      </c>
      <c r="I84" s="43" t="s">
        <v>37</v>
      </c>
      <c r="J84" s="43" t="s">
        <v>43</v>
      </c>
      <c r="K84" s="44">
        <v>2158</v>
      </c>
      <c r="L84" s="45">
        <v>5.1999999999999998E-2</v>
      </c>
      <c r="M84" s="44">
        <f t="shared" si="13"/>
        <v>112.21599999999999</v>
      </c>
      <c r="N84" s="44">
        <v>2270.2199999999998</v>
      </c>
      <c r="O84" s="16"/>
      <c r="P84" s="33">
        <v>2270.2199999999998</v>
      </c>
      <c r="Q84" s="34"/>
      <c r="R84" s="19">
        <f t="shared" si="14"/>
        <v>0</v>
      </c>
      <c r="S84" s="19"/>
      <c r="T84" s="20"/>
      <c r="U84" s="20"/>
      <c r="V84" s="21"/>
      <c r="W84" s="19"/>
      <c r="X84" s="19"/>
      <c r="Y84" s="19"/>
      <c r="Z84" s="7"/>
      <c r="AA84" s="22"/>
      <c r="AB84" s="22"/>
      <c r="AC84" s="22"/>
      <c r="AD84" s="22"/>
      <c r="AE84" s="10"/>
      <c r="AF84" s="23"/>
      <c r="AG84" s="11"/>
      <c r="AH84" s="24"/>
      <c r="AI84" s="25"/>
    </row>
    <row r="85" spans="1:35" ht="15.75" customHeight="1" x14ac:dyDescent="0.25">
      <c r="A85" s="14">
        <v>1201</v>
      </c>
      <c r="B85" s="15" t="s">
        <v>202</v>
      </c>
      <c r="C85" s="60">
        <v>34187</v>
      </c>
      <c r="D85" s="61" t="s">
        <v>203</v>
      </c>
      <c r="E85" s="62"/>
      <c r="F85" s="63">
        <v>45982</v>
      </c>
      <c r="G85" s="64">
        <f t="shared" si="11"/>
        <v>46026</v>
      </c>
      <c r="H85" s="65">
        <f t="shared" si="12"/>
        <v>46071</v>
      </c>
      <c r="I85" s="43" t="s">
        <v>37</v>
      </c>
      <c r="J85" s="43" t="s">
        <v>73</v>
      </c>
      <c r="K85" s="44">
        <v>2158</v>
      </c>
      <c r="L85" s="45">
        <v>5.1999999999999998E-2</v>
      </c>
      <c r="M85" s="44">
        <f t="shared" si="13"/>
        <v>112.21599999999999</v>
      </c>
      <c r="N85" s="44">
        <v>2270.2199999999998</v>
      </c>
      <c r="O85" s="16"/>
      <c r="P85" s="33">
        <v>2270.2159999999999</v>
      </c>
      <c r="Q85" s="34"/>
      <c r="R85" s="19">
        <f t="shared" si="14"/>
        <v>0</v>
      </c>
      <c r="S85" s="19"/>
      <c r="T85" s="20"/>
      <c r="U85" s="20"/>
      <c r="V85" s="21"/>
      <c r="W85" s="19"/>
      <c r="X85" s="19"/>
      <c r="Y85" s="19"/>
      <c r="Z85" s="7"/>
      <c r="AA85" s="22"/>
      <c r="AB85" s="22"/>
      <c r="AC85" s="22"/>
      <c r="AD85" s="22"/>
      <c r="AE85" s="10"/>
      <c r="AF85" s="23"/>
      <c r="AG85" s="11"/>
      <c r="AH85" s="24"/>
      <c r="AI85" s="25"/>
    </row>
    <row r="86" spans="1:35" ht="15.75" customHeight="1" x14ac:dyDescent="0.25">
      <c r="A86" s="14">
        <v>1022</v>
      </c>
      <c r="B86" s="15" t="s">
        <v>204</v>
      </c>
      <c r="C86" s="60">
        <v>26896</v>
      </c>
      <c r="D86" s="61" t="s">
        <v>205</v>
      </c>
      <c r="E86" s="62">
        <v>44774</v>
      </c>
      <c r="F86" s="63">
        <v>45219</v>
      </c>
      <c r="G86" s="64">
        <f t="shared" ref="G86:G116" si="15">F86+44</f>
        <v>45263</v>
      </c>
      <c r="H86" s="65">
        <f t="shared" ref="H86:H116" si="16">G86+45</f>
        <v>45308</v>
      </c>
      <c r="I86" s="43" t="s">
        <v>37</v>
      </c>
      <c r="J86" s="43" t="s">
        <v>43</v>
      </c>
      <c r="K86" s="44">
        <v>2158</v>
      </c>
      <c r="L86" s="45">
        <v>5.1999999999999998E-2</v>
      </c>
      <c r="M86" s="44">
        <f t="shared" ref="M86:M116" si="17">K86*L86</f>
        <v>112.21599999999999</v>
      </c>
      <c r="N86" s="44">
        <v>2270.2199999999998</v>
      </c>
      <c r="O86" s="16"/>
      <c r="P86" s="33">
        <v>2270.2159999999999</v>
      </c>
      <c r="Q86" s="34">
        <v>0.05</v>
      </c>
      <c r="R86" s="19">
        <f t="shared" si="14"/>
        <v>113.5108</v>
      </c>
      <c r="S86" s="19"/>
      <c r="T86" s="20"/>
      <c r="U86" s="20"/>
      <c r="V86" s="21"/>
      <c r="W86" s="19"/>
      <c r="X86" s="19"/>
      <c r="Y86" s="19"/>
      <c r="Z86" s="7"/>
      <c r="AA86" s="22"/>
      <c r="AB86" s="22"/>
      <c r="AC86" s="22"/>
      <c r="AD86" s="22"/>
      <c r="AE86" s="10"/>
      <c r="AF86" s="23"/>
      <c r="AG86" s="11"/>
      <c r="AH86" s="24"/>
      <c r="AI86" s="25"/>
    </row>
    <row r="87" spans="1:35" ht="15.75" customHeight="1" x14ac:dyDescent="0.25">
      <c r="A87" s="14">
        <v>1239</v>
      </c>
      <c r="B87" s="15" t="s">
        <v>206</v>
      </c>
      <c r="C87" s="60">
        <v>31709</v>
      </c>
      <c r="D87" s="61" t="s">
        <v>207</v>
      </c>
      <c r="E87" s="62"/>
      <c r="F87" s="63">
        <v>46080</v>
      </c>
      <c r="G87" s="64">
        <f t="shared" si="15"/>
        <v>46124</v>
      </c>
      <c r="H87" s="65">
        <f t="shared" si="16"/>
        <v>46169</v>
      </c>
      <c r="I87" s="43" t="s">
        <v>37</v>
      </c>
      <c r="J87" s="43" t="s">
        <v>197</v>
      </c>
      <c r="K87" s="44">
        <v>2158</v>
      </c>
      <c r="L87" s="45">
        <v>5.1999999999999998E-2</v>
      </c>
      <c r="M87" s="44">
        <f t="shared" si="17"/>
        <v>112.21599999999999</v>
      </c>
      <c r="N87" s="44">
        <v>2270.2199999999998</v>
      </c>
      <c r="O87" s="16"/>
      <c r="P87" s="33">
        <v>2270.2159999999999</v>
      </c>
      <c r="Q87" s="34"/>
      <c r="R87" s="19">
        <f t="shared" si="14"/>
        <v>0</v>
      </c>
      <c r="S87" s="19"/>
      <c r="T87" s="20"/>
      <c r="U87" s="20"/>
      <c r="V87" s="21"/>
      <c r="W87" s="19"/>
      <c r="X87" s="19"/>
      <c r="Y87" s="19"/>
      <c r="Z87" s="7"/>
      <c r="AA87" s="22"/>
      <c r="AB87" s="22"/>
      <c r="AC87" s="22"/>
      <c r="AD87" s="22"/>
      <c r="AE87" s="10"/>
      <c r="AF87" s="23"/>
      <c r="AG87" s="11"/>
      <c r="AH87" s="24"/>
      <c r="AI87" s="25"/>
    </row>
    <row r="88" spans="1:35" ht="15.75" customHeight="1" x14ac:dyDescent="0.25">
      <c r="A88" s="14">
        <v>1042</v>
      </c>
      <c r="B88" s="15" t="s">
        <v>208</v>
      </c>
      <c r="C88" s="60">
        <v>29583</v>
      </c>
      <c r="D88" s="61" t="s">
        <v>209</v>
      </c>
      <c r="E88" s="62">
        <v>45411</v>
      </c>
      <c r="F88" s="63">
        <v>45454</v>
      </c>
      <c r="G88" s="64">
        <f t="shared" si="15"/>
        <v>45498</v>
      </c>
      <c r="H88" s="65">
        <f t="shared" si="16"/>
        <v>45543</v>
      </c>
      <c r="I88" s="43" t="s">
        <v>37</v>
      </c>
      <c r="J88" s="43" t="s">
        <v>49</v>
      </c>
      <c r="K88" s="44">
        <v>2158</v>
      </c>
      <c r="L88" s="45">
        <v>5.1999999999999998E-2</v>
      </c>
      <c r="M88" s="44">
        <f t="shared" si="17"/>
        <v>112.21599999999999</v>
      </c>
      <c r="N88" s="44">
        <v>2270.2199999999998</v>
      </c>
      <c r="O88" s="16"/>
      <c r="P88" s="33">
        <v>2270.2159999999999</v>
      </c>
      <c r="Q88" s="34">
        <v>0.05</v>
      </c>
      <c r="R88" s="19">
        <f t="shared" si="14"/>
        <v>113.5108</v>
      </c>
      <c r="S88" s="19"/>
      <c r="T88" s="20"/>
      <c r="U88" s="20"/>
      <c r="V88" s="21"/>
      <c r="W88" s="19"/>
      <c r="X88" s="19"/>
      <c r="Y88" s="19"/>
      <c r="Z88" s="7"/>
      <c r="AA88" s="22"/>
      <c r="AB88" s="22"/>
      <c r="AC88" s="22"/>
      <c r="AD88" s="22"/>
      <c r="AE88" s="10"/>
      <c r="AF88" s="23"/>
      <c r="AG88" s="11"/>
      <c r="AH88" s="24"/>
      <c r="AI88" s="25"/>
    </row>
    <row r="89" spans="1:35" ht="15.75" customHeight="1" x14ac:dyDescent="0.25">
      <c r="A89" s="14">
        <v>1275</v>
      </c>
      <c r="B89" s="15" t="s">
        <v>210</v>
      </c>
      <c r="C89" s="60">
        <v>36349</v>
      </c>
      <c r="D89" s="61" t="s">
        <v>211</v>
      </c>
      <c r="E89" s="62"/>
      <c r="F89" s="63">
        <v>46171</v>
      </c>
      <c r="G89" s="64">
        <f t="shared" si="15"/>
        <v>46215</v>
      </c>
      <c r="H89" s="65">
        <f t="shared" si="16"/>
        <v>46260</v>
      </c>
      <c r="I89" s="43" t="s">
        <v>37</v>
      </c>
      <c r="J89" s="43" t="s">
        <v>60</v>
      </c>
      <c r="K89" s="44">
        <v>2158</v>
      </c>
      <c r="L89" s="45">
        <v>5.1999999999999998E-2</v>
      </c>
      <c r="M89" s="44">
        <f t="shared" si="17"/>
        <v>112.21599999999999</v>
      </c>
      <c r="N89" s="44">
        <v>2290.7199999999998</v>
      </c>
      <c r="O89" s="16"/>
      <c r="P89" s="33">
        <v>2270.2159999999999</v>
      </c>
      <c r="Q89" s="34"/>
      <c r="R89" s="19">
        <f t="shared" si="14"/>
        <v>0</v>
      </c>
      <c r="S89" s="19"/>
      <c r="T89" s="20"/>
      <c r="U89" s="20"/>
      <c r="V89" s="21"/>
      <c r="W89" s="19"/>
      <c r="X89" s="19"/>
      <c r="Y89" s="19"/>
      <c r="Z89" s="7"/>
      <c r="AA89" s="22"/>
      <c r="AB89" s="22"/>
      <c r="AC89" s="22"/>
      <c r="AD89" s="22"/>
      <c r="AE89" s="10"/>
      <c r="AF89" s="23"/>
      <c r="AG89" s="11"/>
      <c r="AH89" s="24"/>
      <c r="AI89" s="25"/>
    </row>
    <row r="90" spans="1:35" ht="15.75" customHeight="1" x14ac:dyDescent="0.25">
      <c r="A90" s="14">
        <v>1237</v>
      </c>
      <c r="B90" s="15" t="s">
        <v>212</v>
      </c>
      <c r="C90" s="60">
        <v>33175</v>
      </c>
      <c r="D90" s="61" t="s">
        <v>213</v>
      </c>
      <c r="E90" s="62"/>
      <c r="F90" s="63">
        <v>46080</v>
      </c>
      <c r="G90" s="64">
        <f t="shared" si="15"/>
        <v>46124</v>
      </c>
      <c r="H90" s="65">
        <f t="shared" si="16"/>
        <v>46169</v>
      </c>
      <c r="I90" s="43" t="s">
        <v>37</v>
      </c>
      <c r="J90" s="43" t="s">
        <v>33</v>
      </c>
      <c r="K90" s="44">
        <v>2158</v>
      </c>
      <c r="L90" s="45">
        <v>5.1999999999999998E-2</v>
      </c>
      <c r="M90" s="44">
        <f t="shared" si="17"/>
        <v>112.21599999999999</v>
      </c>
      <c r="N90" s="44">
        <v>2270.2199999999998</v>
      </c>
      <c r="O90" s="16"/>
      <c r="P90" s="33">
        <v>2270.2159999999999</v>
      </c>
      <c r="Q90" s="34"/>
      <c r="R90" s="19">
        <f t="shared" si="14"/>
        <v>0</v>
      </c>
      <c r="S90" s="19"/>
      <c r="T90" s="20"/>
      <c r="U90" s="20"/>
      <c r="V90" s="21"/>
      <c r="W90" s="19"/>
      <c r="X90" s="19"/>
      <c r="Y90" s="19"/>
      <c r="Z90" s="7"/>
      <c r="AA90" s="22"/>
      <c r="AB90" s="22"/>
      <c r="AC90" s="22"/>
      <c r="AD90" s="22"/>
      <c r="AE90" s="10"/>
      <c r="AF90" s="23"/>
      <c r="AG90" s="11"/>
      <c r="AH90" s="24"/>
      <c r="AI90" s="25"/>
    </row>
    <row r="91" spans="1:35" ht="15.75" customHeight="1" x14ac:dyDescent="0.25">
      <c r="A91" s="14">
        <v>1266</v>
      </c>
      <c r="B91" s="15" t="s">
        <v>214</v>
      </c>
      <c r="C91" s="60">
        <v>38151</v>
      </c>
      <c r="D91" s="61" t="s">
        <v>215</v>
      </c>
      <c r="E91" s="62"/>
      <c r="F91" s="63">
        <v>46150</v>
      </c>
      <c r="G91" s="64">
        <f t="shared" si="15"/>
        <v>46194</v>
      </c>
      <c r="H91" s="65">
        <f t="shared" si="16"/>
        <v>46239</v>
      </c>
      <c r="I91" s="43" t="s">
        <v>37</v>
      </c>
      <c r="J91" s="43" t="s">
        <v>43</v>
      </c>
      <c r="K91" s="44">
        <v>2158</v>
      </c>
      <c r="L91" s="45">
        <v>5.1999999999999998E-2</v>
      </c>
      <c r="M91" s="44">
        <f t="shared" si="17"/>
        <v>112.21599999999999</v>
      </c>
      <c r="N91" s="44">
        <v>2270.2199999999998</v>
      </c>
      <c r="O91" s="16"/>
      <c r="P91" s="33">
        <v>2270.2159999999999</v>
      </c>
      <c r="Q91" s="34"/>
      <c r="R91" s="19">
        <f t="shared" si="14"/>
        <v>0</v>
      </c>
      <c r="S91" s="19"/>
      <c r="T91" s="20"/>
      <c r="U91" s="20"/>
      <c r="V91" s="21"/>
      <c r="W91" s="19"/>
      <c r="X91" s="19"/>
      <c r="Y91" s="19"/>
      <c r="Z91" s="7"/>
      <c r="AA91" s="22"/>
      <c r="AB91" s="22"/>
      <c r="AC91" s="22"/>
      <c r="AD91" s="22"/>
      <c r="AE91" s="10"/>
      <c r="AF91" s="23"/>
      <c r="AG91" s="11"/>
      <c r="AH91" s="24"/>
      <c r="AI91" s="25"/>
    </row>
    <row r="92" spans="1:35" ht="15.75" customHeight="1" x14ac:dyDescent="0.25">
      <c r="A92" s="14">
        <v>1295</v>
      </c>
      <c r="B92" s="15" t="s">
        <v>216</v>
      </c>
      <c r="C92" s="60">
        <v>39579</v>
      </c>
      <c r="D92" s="61" t="s">
        <v>217</v>
      </c>
      <c r="E92" s="62"/>
      <c r="F92" s="63">
        <v>46204</v>
      </c>
      <c r="G92" s="64">
        <f t="shared" si="15"/>
        <v>46248</v>
      </c>
      <c r="H92" s="65">
        <f t="shared" si="16"/>
        <v>46293</v>
      </c>
      <c r="I92" s="43" t="s">
        <v>37</v>
      </c>
      <c r="J92" s="43" t="s">
        <v>60</v>
      </c>
      <c r="K92" s="44">
        <v>2158</v>
      </c>
      <c r="L92" s="45">
        <v>5.1999999999999998E-2</v>
      </c>
      <c r="M92" s="44">
        <f t="shared" si="17"/>
        <v>112.21599999999999</v>
      </c>
      <c r="N92" s="44">
        <v>2270.2199999999998</v>
      </c>
      <c r="O92" s="16"/>
      <c r="P92" s="33">
        <v>2270.2159999999999</v>
      </c>
      <c r="Q92" s="34"/>
      <c r="R92" s="19">
        <f t="shared" si="14"/>
        <v>0</v>
      </c>
      <c r="S92" s="19"/>
      <c r="T92" s="20"/>
      <c r="U92" s="20"/>
      <c r="V92" s="21"/>
      <c r="W92" s="19"/>
      <c r="X92" s="19"/>
      <c r="Y92" s="19"/>
      <c r="Z92" s="7"/>
      <c r="AA92" s="22"/>
      <c r="AB92" s="22"/>
      <c r="AC92" s="22"/>
      <c r="AD92" s="22"/>
      <c r="AE92" s="10"/>
      <c r="AF92" s="23"/>
      <c r="AG92" s="11"/>
      <c r="AH92" s="24"/>
      <c r="AI92" s="25"/>
    </row>
    <row r="93" spans="1:35" ht="15.75" customHeight="1" x14ac:dyDescent="0.25">
      <c r="A93" s="14">
        <v>1168</v>
      </c>
      <c r="B93" s="15" t="s">
        <v>285</v>
      </c>
      <c r="C93" s="60">
        <v>37321</v>
      </c>
      <c r="D93" s="61" t="s">
        <v>218</v>
      </c>
      <c r="E93" s="62"/>
      <c r="F93" s="63">
        <v>45882</v>
      </c>
      <c r="G93" s="64">
        <f t="shared" si="15"/>
        <v>45926</v>
      </c>
      <c r="H93" s="65">
        <f t="shared" si="16"/>
        <v>45971</v>
      </c>
      <c r="I93" s="43" t="s">
        <v>37</v>
      </c>
      <c r="J93" s="43" t="s">
        <v>43</v>
      </c>
      <c r="K93" s="44">
        <v>2158</v>
      </c>
      <c r="L93" s="45">
        <v>5.1999999999999998E-2</v>
      </c>
      <c r="M93" s="44">
        <f t="shared" si="17"/>
        <v>112.21599999999999</v>
      </c>
      <c r="N93" s="44">
        <v>2270.2199999999998</v>
      </c>
      <c r="O93" s="16"/>
      <c r="P93" s="33">
        <v>2270.2159999999999</v>
      </c>
      <c r="Q93" s="34"/>
      <c r="R93" s="19">
        <f t="shared" si="14"/>
        <v>0</v>
      </c>
      <c r="S93" s="19"/>
      <c r="T93" s="20"/>
      <c r="U93" s="20"/>
      <c r="V93" s="21"/>
      <c r="W93" s="19"/>
      <c r="X93" s="19"/>
      <c r="Y93" s="19"/>
      <c r="Z93" s="7"/>
      <c r="AA93" s="22"/>
      <c r="AB93" s="22"/>
      <c r="AC93" s="22"/>
      <c r="AD93" s="22"/>
      <c r="AE93" s="10"/>
      <c r="AF93" s="23"/>
      <c r="AG93" s="11"/>
      <c r="AH93" s="24"/>
      <c r="AI93" s="25"/>
    </row>
    <row r="94" spans="1:35" ht="15.75" customHeight="1" x14ac:dyDescent="0.25">
      <c r="A94" s="14">
        <v>1123</v>
      </c>
      <c r="B94" s="15" t="s">
        <v>219</v>
      </c>
      <c r="C94" s="60">
        <v>33822</v>
      </c>
      <c r="D94" s="61" t="s">
        <v>220</v>
      </c>
      <c r="E94" s="62"/>
      <c r="F94" s="63">
        <v>45798</v>
      </c>
      <c r="G94" s="64">
        <f t="shared" si="15"/>
        <v>45842</v>
      </c>
      <c r="H94" s="65">
        <f t="shared" si="16"/>
        <v>45887</v>
      </c>
      <c r="I94" s="43" t="s">
        <v>37</v>
      </c>
      <c r="J94" s="43" t="s">
        <v>43</v>
      </c>
      <c r="K94" s="44">
        <v>2158</v>
      </c>
      <c r="L94" s="45">
        <v>5.1999999999999998E-2</v>
      </c>
      <c r="M94" s="44">
        <f t="shared" si="17"/>
        <v>112.21599999999999</v>
      </c>
      <c r="N94" s="44">
        <v>2270.2199999999998</v>
      </c>
      <c r="O94" s="16"/>
      <c r="P94" s="33">
        <v>2270.2159999999999</v>
      </c>
      <c r="Q94" s="34"/>
      <c r="R94" s="19">
        <f t="shared" si="14"/>
        <v>0</v>
      </c>
      <c r="S94" s="19"/>
      <c r="T94" s="20"/>
      <c r="U94" s="20"/>
      <c r="V94" s="21"/>
      <c r="W94" s="19"/>
      <c r="X94" s="19"/>
      <c r="Y94" s="19"/>
      <c r="Z94" s="7"/>
      <c r="AA94" s="22"/>
      <c r="AB94" s="22"/>
      <c r="AC94" s="22"/>
      <c r="AD94" s="22"/>
      <c r="AE94" s="10"/>
      <c r="AF94" s="23"/>
      <c r="AG94" s="11"/>
      <c r="AH94" s="24"/>
      <c r="AI94" s="25"/>
    </row>
    <row r="95" spans="1:35" ht="15.75" customHeight="1" x14ac:dyDescent="0.25">
      <c r="A95" s="14">
        <v>1117</v>
      </c>
      <c r="B95" s="15" t="s">
        <v>221</v>
      </c>
      <c r="C95" s="60">
        <v>38871</v>
      </c>
      <c r="D95" s="61" t="s">
        <v>222</v>
      </c>
      <c r="E95" s="62"/>
      <c r="F95" s="63">
        <v>45779</v>
      </c>
      <c r="G95" s="64">
        <f t="shared" si="15"/>
        <v>45823</v>
      </c>
      <c r="H95" s="65">
        <f t="shared" si="16"/>
        <v>45868</v>
      </c>
      <c r="I95" s="43" t="s">
        <v>118</v>
      </c>
      <c r="J95" s="43" t="s">
        <v>38</v>
      </c>
      <c r="K95" s="44">
        <v>2158</v>
      </c>
      <c r="L95" s="45">
        <v>5.1999999999999998E-2</v>
      </c>
      <c r="M95" s="44">
        <f t="shared" si="17"/>
        <v>112.21599999999999</v>
      </c>
      <c r="N95" s="44">
        <v>2497.2399999999998</v>
      </c>
      <c r="O95" s="16"/>
      <c r="P95" s="33">
        <v>2270.2159999999999</v>
      </c>
      <c r="Q95" s="34"/>
      <c r="R95" s="19">
        <f t="shared" si="14"/>
        <v>0</v>
      </c>
      <c r="S95" s="19"/>
      <c r="T95" s="20"/>
      <c r="U95" s="20"/>
      <c r="V95" s="21"/>
      <c r="W95" s="19"/>
      <c r="X95" s="19"/>
      <c r="Y95" s="19"/>
      <c r="Z95" s="7"/>
      <c r="AA95" s="22"/>
      <c r="AB95" s="22"/>
      <c r="AC95" s="22"/>
      <c r="AD95" s="22"/>
      <c r="AE95" s="10"/>
      <c r="AF95" s="23"/>
      <c r="AG95" s="11"/>
      <c r="AH95" s="24"/>
      <c r="AI95" s="25"/>
    </row>
    <row r="96" spans="1:35" ht="15.75" customHeight="1" x14ac:dyDescent="0.25">
      <c r="A96" s="14">
        <v>1179</v>
      </c>
      <c r="B96" s="15" t="s">
        <v>223</v>
      </c>
      <c r="C96" s="60">
        <v>36156</v>
      </c>
      <c r="D96" s="61" t="s">
        <v>224</v>
      </c>
      <c r="E96" s="62"/>
      <c r="F96" s="63">
        <v>45915</v>
      </c>
      <c r="G96" s="64">
        <f t="shared" si="15"/>
        <v>45959</v>
      </c>
      <c r="H96" s="65">
        <f t="shared" si="16"/>
        <v>46004</v>
      </c>
      <c r="I96" s="43" t="s">
        <v>37</v>
      </c>
      <c r="J96" s="43" t="s">
        <v>38</v>
      </c>
      <c r="K96" s="44">
        <v>2158</v>
      </c>
      <c r="L96" s="45">
        <v>5.1999999999999998E-2</v>
      </c>
      <c r="M96" s="44">
        <f t="shared" si="17"/>
        <v>112.21599999999999</v>
      </c>
      <c r="N96" s="44">
        <v>2270.2199999999998</v>
      </c>
      <c r="O96" s="16"/>
      <c r="P96" s="33">
        <v>2270.2159999999999</v>
      </c>
      <c r="Q96" s="34"/>
      <c r="R96" s="19">
        <f t="shared" si="14"/>
        <v>0</v>
      </c>
      <c r="S96" s="19"/>
      <c r="T96" s="20"/>
      <c r="U96" s="20"/>
      <c r="V96" s="21"/>
      <c r="W96" s="19"/>
      <c r="X96" s="19"/>
      <c r="Y96" s="19"/>
      <c r="Z96" s="7"/>
      <c r="AA96" s="22"/>
      <c r="AB96" s="22"/>
      <c r="AC96" s="22"/>
      <c r="AD96" s="22"/>
      <c r="AE96" s="10"/>
      <c r="AF96" s="23"/>
      <c r="AG96" s="11"/>
      <c r="AH96" s="24"/>
      <c r="AI96" s="25"/>
    </row>
    <row r="97" spans="1:35" ht="15.75" customHeight="1" x14ac:dyDescent="0.25">
      <c r="A97" s="14">
        <v>1147</v>
      </c>
      <c r="B97" s="15" t="s">
        <v>225</v>
      </c>
      <c r="C97" s="60">
        <v>27039</v>
      </c>
      <c r="D97" s="61" t="s">
        <v>226</v>
      </c>
      <c r="E97" s="62"/>
      <c r="F97" s="63">
        <v>45852</v>
      </c>
      <c r="G97" s="64">
        <f t="shared" si="15"/>
        <v>45896</v>
      </c>
      <c r="H97" s="65">
        <f t="shared" si="16"/>
        <v>45941</v>
      </c>
      <c r="I97" s="43" t="s">
        <v>37</v>
      </c>
      <c r="J97" s="43" t="s">
        <v>43</v>
      </c>
      <c r="K97" s="44">
        <v>2158</v>
      </c>
      <c r="L97" s="45">
        <v>5.1999999999999998E-2</v>
      </c>
      <c r="M97" s="44">
        <f t="shared" si="17"/>
        <v>112.21599999999999</v>
      </c>
      <c r="N97" s="44">
        <v>2270.2199999999998</v>
      </c>
      <c r="O97" s="16"/>
      <c r="P97" s="33">
        <v>2270.2159999999999</v>
      </c>
      <c r="Q97" s="34"/>
      <c r="R97" s="19">
        <f t="shared" si="14"/>
        <v>0</v>
      </c>
      <c r="S97" s="19"/>
      <c r="T97" s="20"/>
      <c r="U97" s="20"/>
      <c r="V97" s="21"/>
      <c r="W97" s="19"/>
      <c r="X97" s="19"/>
      <c r="Y97" s="19"/>
      <c r="Z97" s="7"/>
      <c r="AA97" s="22"/>
      <c r="AB97" s="22"/>
      <c r="AC97" s="22"/>
      <c r="AD97" s="22"/>
      <c r="AE97" s="10"/>
      <c r="AF97" s="23"/>
      <c r="AG97" s="11"/>
      <c r="AH97" s="24"/>
      <c r="AI97" s="25"/>
    </row>
    <row r="98" spans="1:35" ht="15.75" customHeight="1" x14ac:dyDescent="0.25">
      <c r="A98" s="14">
        <v>1041</v>
      </c>
      <c r="B98" s="15" t="s">
        <v>227</v>
      </c>
      <c r="C98" s="60">
        <v>32265</v>
      </c>
      <c r="D98" s="61" t="s">
        <v>228</v>
      </c>
      <c r="E98" s="62">
        <v>45412</v>
      </c>
      <c r="F98" s="63">
        <v>45454</v>
      </c>
      <c r="G98" s="64">
        <f t="shared" si="15"/>
        <v>45498</v>
      </c>
      <c r="H98" s="65">
        <f t="shared" si="16"/>
        <v>45543</v>
      </c>
      <c r="I98" s="43" t="s">
        <v>32</v>
      </c>
      <c r="J98" s="43" t="s">
        <v>73</v>
      </c>
      <c r="K98" s="44">
        <v>3195.3</v>
      </c>
      <c r="L98" s="45">
        <v>5.1999999999999998E-2</v>
      </c>
      <c r="M98" s="44">
        <f t="shared" si="17"/>
        <v>166.15559999999999</v>
      </c>
      <c r="N98" s="44">
        <v>3361.46</v>
      </c>
      <c r="O98" s="16"/>
      <c r="P98" s="33">
        <v>3361.4555999999998</v>
      </c>
      <c r="Q98" s="34">
        <v>0.05</v>
      </c>
      <c r="R98" s="19">
        <f t="shared" si="14"/>
        <v>168.07277999999999</v>
      </c>
      <c r="S98" s="19"/>
      <c r="T98" s="20"/>
      <c r="U98" s="20"/>
      <c r="V98" s="21"/>
      <c r="W98" s="19"/>
      <c r="X98" s="19"/>
      <c r="Y98" s="19"/>
      <c r="Z98" s="7"/>
      <c r="AA98" s="22"/>
      <c r="AB98" s="22"/>
      <c r="AC98" s="22"/>
      <c r="AD98" s="22"/>
      <c r="AE98" s="10"/>
      <c r="AF98" s="23"/>
      <c r="AG98" s="11"/>
      <c r="AH98" s="24"/>
      <c r="AI98" s="25"/>
    </row>
    <row r="99" spans="1:35" ht="15.75" customHeight="1" x14ac:dyDescent="0.25">
      <c r="A99" s="14">
        <v>1048</v>
      </c>
      <c r="B99" s="15" t="s">
        <v>229</v>
      </c>
      <c r="C99" s="60">
        <v>32275</v>
      </c>
      <c r="D99" s="61" t="s">
        <v>230</v>
      </c>
      <c r="E99" s="62">
        <v>45420</v>
      </c>
      <c r="F99" s="63">
        <v>45505</v>
      </c>
      <c r="G99" s="64">
        <f t="shared" si="15"/>
        <v>45549</v>
      </c>
      <c r="H99" s="65">
        <f t="shared" si="16"/>
        <v>45594</v>
      </c>
      <c r="I99" s="43" t="s">
        <v>37</v>
      </c>
      <c r="J99" s="43" t="s">
        <v>43</v>
      </c>
      <c r="K99" s="44">
        <v>2158</v>
      </c>
      <c r="L99" s="45">
        <v>5.1999999999999998E-2</v>
      </c>
      <c r="M99" s="44">
        <f t="shared" si="17"/>
        <v>112.21599999999999</v>
      </c>
      <c r="N99" s="44">
        <v>2270.2199999999998</v>
      </c>
      <c r="O99" s="16"/>
      <c r="P99" s="33">
        <v>2270.2159999999999</v>
      </c>
      <c r="Q99" s="34">
        <v>0.05</v>
      </c>
      <c r="R99" s="19">
        <f t="shared" si="14"/>
        <v>113.5108</v>
      </c>
      <c r="S99" s="19"/>
      <c r="T99" s="20"/>
      <c r="U99" s="20"/>
      <c r="V99" s="21"/>
      <c r="W99" s="19"/>
      <c r="X99" s="19"/>
      <c r="Y99" s="19"/>
      <c r="Z99" s="7"/>
      <c r="AA99" s="22"/>
      <c r="AB99" s="22"/>
      <c r="AC99" s="22"/>
      <c r="AD99" s="22"/>
      <c r="AE99" s="10"/>
      <c r="AF99" s="23"/>
      <c r="AG99" s="11"/>
      <c r="AH99" s="24"/>
      <c r="AI99" s="25"/>
    </row>
    <row r="100" spans="1:35" ht="15.75" customHeight="1" x14ac:dyDescent="0.25">
      <c r="A100" s="14">
        <v>1118</v>
      </c>
      <c r="B100" s="15" t="s">
        <v>231</v>
      </c>
      <c r="C100" s="60">
        <v>34310</v>
      </c>
      <c r="D100" s="61" t="s">
        <v>232</v>
      </c>
      <c r="E100" s="62">
        <v>45748</v>
      </c>
      <c r="F100" s="63">
        <v>45779</v>
      </c>
      <c r="G100" s="64">
        <f t="shared" si="15"/>
        <v>45823</v>
      </c>
      <c r="H100" s="65">
        <f t="shared" si="16"/>
        <v>45868</v>
      </c>
      <c r="I100" s="43" t="s">
        <v>233</v>
      </c>
      <c r="J100" s="43" t="s">
        <v>197</v>
      </c>
      <c r="K100" s="44">
        <v>6390.6</v>
      </c>
      <c r="L100" s="45">
        <v>5.1999999999999998E-2</v>
      </c>
      <c r="M100" s="44">
        <f t="shared" si="17"/>
        <v>332.31119999999999</v>
      </c>
      <c r="N100" s="44">
        <v>6722.92</v>
      </c>
      <c r="O100" s="16"/>
      <c r="P100" s="33">
        <v>6722.9111999999996</v>
      </c>
      <c r="Q100" s="34">
        <v>0.1</v>
      </c>
      <c r="R100" s="19">
        <f t="shared" si="14"/>
        <v>672.29111999999998</v>
      </c>
      <c r="S100" s="19"/>
      <c r="T100" s="20"/>
      <c r="U100" s="20"/>
      <c r="V100" s="21"/>
      <c r="W100" s="19"/>
      <c r="X100" s="19"/>
      <c r="Y100" s="19"/>
      <c r="Z100" s="7"/>
      <c r="AA100" s="22"/>
      <c r="AB100" s="22"/>
      <c r="AC100" s="22"/>
      <c r="AD100" s="22"/>
      <c r="AE100" s="10"/>
      <c r="AF100" s="23"/>
      <c r="AG100" s="11"/>
      <c r="AH100" s="24"/>
      <c r="AI100" s="25"/>
    </row>
    <row r="101" spans="1:35" ht="15.75" customHeight="1" x14ac:dyDescent="0.25">
      <c r="A101" s="14">
        <v>1225</v>
      </c>
      <c r="B101" s="15" t="s">
        <v>234</v>
      </c>
      <c r="C101" s="60">
        <v>36920</v>
      </c>
      <c r="D101" s="61" t="s">
        <v>235</v>
      </c>
      <c r="E101" s="62"/>
      <c r="F101" s="63">
        <v>46056</v>
      </c>
      <c r="G101" s="64">
        <f t="shared" si="15"/>
        <v>46100</v>
      </c>
      <c r="H101" s="65">
        <f t="shared" si="16"/>
        <v>46145</v>
      </c>
      <c r="I101" s="43" t="s">
        <v>236</v>
      </c>
      <c r="J101" s="43" t="s">
        <v>73</v>
      </c>
      <c r="K101" s="44">
        <v>2158</v>
      </c>
      <c r="L101" s="45">
        <v>5.1999999999999998E-2</v>
      </c>
      <c r="M101" s="44">
        <f t="shared" si="17"/>
        <v>112.21599999999999</v>
      </c>
      <c r="N101" s="44">
        <v>2497.2399999999998</v>
      </c>
      <c r="O101" s="16"/>
      <c r="P101" s="33">
        <v>2270.2159999999999</v>
      </c>
      <c r="Q101" s="34"/>
      <c r="R101" s="19">
        <f t="shared" si="14"/>
        <v>0</v>
      </c>
      <c r="S101" s="19"/>
      <c r="T101" s="20"/>
      <c r="U101" s="20"/>
      <c r="V101" s="21"/>
      <c r="W101" s="19"/>
      <c r="X101" s="19"/>
      <c r="Y101" s="19"/>
      <c r="Z101" s="7"/>
      <c r="AA101" s="22"/>
      <c r="AB101" s="22"/>
      <c r="AC101" s="22"/>
      <c r="AD101" s="22"/>
      <c r="AE101" s="10"/>
      <c r="AF101" s="23"/>
      <c r="AG101" s="11"/>
      <c r="AH101" s="24"/>
      <c r="AI101" s="25"/>
    </row>
    <row r="102" spans="1:35" ht="15.75" customHeight="1" x14ac:dyDescent="0.25">
      <c r="A102" s="14">
        <v>1230</v>
      </c>
      <c r="B102" s="15" t="s">
        <v>237</v>
      </c>
      <c r="C102" s="60">
        <v>26462</v>
      </c>
      <c r="D102" s="61" t="s">
        <v>238</v>
      </c>
      <c r="E102" s="62"/>
      <c r="F102" s="63">
        <v>46059</v>
      </c>
      <c r="G102" s="64">
        <f t="shared" si="15"/>
        <v>46103</v>
      </c>
      <c r="H102" s="65">
        <f t="shared" si="16"/>
        <v>46148</v>
      </c>
      <c r="I102" s="43" t="s">
        <v>37</v>
      </c>
      <c r="J102" s="43" t="s">
        <v>43</v>
      </c>
      <c r="K102" s="44">
        <v>2158</v>
      </c>
      <c r="L102" s="45">
        <v>5.1999999999999998E-2</v>
      </c>
      <c r="M102" s="44">
        <f t="shared" si="17"/>
        <v>112.21599999999999</v>
      </c>
      <c r="N102" s="44">
        <v>2270.2199999999998</v>
      </c>
      <c r="O102" s="16"/>
      <c r="P102" s="33">
        <v>2270.2159999999999</v>
      </c>
      <c r="Q102" s="34"/>
      <c r="R102" s="19">
        <f t="shared" si="14"/>
        <v>0</v>
      </c>
      <c r="S102" s="19"/>
      <c r="T102" s="20"/>
      <c r="U102" s="20"/>
      <c r="V102" s="21"/>
      <c r="W102" s="19"/>
      <c r="X102" s="19"/>
      <c r="Y102" s="19"/>
      <c r="Z102" s="7"/>
      <c r="AA102" s="22"/>
      <c r="AB102" s="22"/>
      <c r="AC102" s="22"/>
      <c r="AD102" s="22"/>
      <c r="AE102" s="10"/>
      <c r="AF102" s="23"/>
      <c r="AG102" s="11"/>
      <c r="AH102" s="24"/>
      <c r="AI102" s="25"/>
    </row>
    <row r="103" spans="1:35" ht="15.75" customHeight="1" x14ac:dyDescent="0.25">
      <c r="A103" s="14">
        <v>1004</v>
      </c>
      <c r="B103" s="15" t="s">
        <v>239</v>
      </c>
      <c r="C103" s="60">
        <v>29019</v>
      </c>
      <c r="D103" s="61" t="s">
        <v>240</v>
      </c>
      <c r="E103" s="62">
        <v>45017</v>
      </c>
      <c r="F103" s="63">
        <v>45078</v>
      </c>
      <c r="G103" s="64">
        <f t="shared" si="15"/>
        <v>45122</v>
      </c>
      <c r="H103" s="65">
        <f t="shared" si="16"/>
        <v>45167</v>
      </c>
      <c r="I103" s="43" t="s">
        <v>241</v>
      </c>
      <c r="J103" s="43" t="s">
        <v>60</v>
      </c>
      <c r="K103" s="44">
        <v>5006</v>
      </c>
      <c r="L103" s="45">
        <v>5.1999999999999998E-2</v>
      </c>
      <c r="M103" s="44">
        <f t="shared" si="17"/>
        <v>260.31200000000001</v>
      </c>
      <c r="N103" s="44">
        <v>6312</v>
      </c>
      <c r="O103" s="16"/>
      <c r="P103" s="33">
        <v>5266.3119999999999</v>
      </c>
      <c r="Q103" s="34">
        <v>0.1</v>
      </c>
      <c r="R103" s="19">
        <f t="shared" si="14"/>
        <v>526.63120000000004</v>
      </c>
      <c r="S103" s="19"/>
      <c r="T103" s="20"/>
      <c r="U103" s="20"/>
      <c r="V103" s="21"/>
      <c r="W103" s="19"/>
      <c r="X103" s="19"/>
      <c r="Y103" s="19"/>
      <c r="Z103" s="7"/>
      <c r="AA103" s="22"/>
      <c r="AB103" s="22"/>
      <c r="AC103" s="22"/>
      <c r="AD103" s="22"/>
      <c r="AE103" s="10"/>
      <c r="AF103" s="23"/>
      <c r="AG103" s="11"/>
      <c r="AH103" s="24"/>
      <c r="AI103" s="25"/>
    </row>
    <row r="104" spans="1:35" ht="15.75" customHeight="1" x14ac:dyDescent="0.25">
      <c r="A104" s="14">
        <v>1232</v>
      </c>
      <c r="B104" s="15" t="s">
        <v>242</v>
      </c>
      <c r="C104" s="60">
        <v>39483</v>
      </c>
      <c r="D104" s="61" t="s">
        <v>243</v>
      </c>
      <c r="E104" s="62"/>
      <c r="F104" s="63">
        <v>46059</v>
      </c>
      <c r="G104" s="64">
        <f t="shared" si="15"/>
        <v>46103</v>
      </c>
      <c r="H104" s="65">
        <f t="shared" si="16"/>
        <v>46148</v>
      </c>
      <c r="I104" s="43" t="s">
        <v>37</v>
      </c>
      <c r="J104" s="43" t="s">
        <v>43</v>
      </c>
      <c r="K104" s="44">
        <v>2158</v>
      </c>
      <c r="L104" s="45">
        <v>5.1999999999999998E-2</v>
      </c>
      <c r="M104" s="44">
        <f t="shared" si="17"/>
        <v>112.21599999999999</v>
      </c>
      <c r="N104" s="44">
        <v>2270.2199999999998</v>
      </c>
      <c r="O104" s="16"/>
      <c r="P104" s="33">
        <v>2270.2159999999999</v>
      </c>
      <c r="Q104" s="34"/>
      <c r="R104" s="19">
        <f t="shared" si="14"/>
        <v>0</v>
      </c>
      <c r="S104" s="19"/>
      <c r="T104" s="20"/>
      <c r="U104" s="20"/>
      <c r="V104" s="21"/>
      <c r="W104" s="19"/>
      <c r="X104" s="19"/>
      <c r="Y104" s="19"/>
      <c r="Z104" s="7"/>
      <c r="AA104" s="22"/>
      <c r="AB104" s="22"/>
      <c r="AC104" s="22"/>
      <c r="AD104" s="22"/>
      <c r="AE104" s="10"/>
      <c r="AF104" s="23"/>
      <c r="AG104" s="11"/>
      <c r="AH104" s="24"/>
      <c r="AI104" s="25"/>
    </row>
    <row r="105" spans="1:35" ht="15.75" customHeight="1" x14ac:dyDescent="0.25">
      <c r="A105" s="14">
        <v>1093</v>
      </c>
      <c r="B105" s="15" t="s">
        <v>244</v>
      </c>
      <c r="C105" s="60">
        <v>38161</v>
      </c>
      <c r="D105" s="61" t="s">
        <v>245</v>
      </c>
      <c r="E105" s="62"/>
      <c r="F105" s="63">
        <v>45748</v>
      </c>
      <c r="G105" s="64">
        <f t="shared" si="15"/>
        <v>45792</v>
      </c>
      <c r="H105" s="65">
        <f t="shared" si="16"/>
        <v>45837</v>
      </c>
      <c r="I105" s="43" t="s">
        <v>32</v>
      </c>
      <c r="J105" s="43" t="s">
        <v>38</v>
      </c>
      <c r="K105" s="44">
        <v>3195.3</v>
      </c>
      <c r="L105" s="45">
        <v>5.1999999999999998E-2</v>
      </c>
      <c r="M105" s="44">
        <f t="shared" si="17"/>
        <v>166.15559999999999</v>
      </c>
      <c r="N105" s="44">
        <v>3361.46</v>
      </c>
      <c r="O105" s="16"/>
      <c r="P105" s="33">
        <v>3361.4555999999998</v>
      </c>
      <c r="Q105" s="34"/>
      <c r="R105" s="19">
        <f t="shared" si="14"/>
        <v>0</v>
      </c>
      <c r="S105" s="19"/>
      <c r="T105" s="20"/>
      <c r="U105" s="20"/>
      <c r="V105" s="21"/>
      <c r="W105" s="19"/>
      <c r="X105" s="19"/>
      <c r="Y105" s="19"/>
      <c r="Z105" s="7"/>
      <c r="AA105" s="22"/>
      <c r="AB105" s="22"/>
      <c r="AC105" s="22"/>
      <c r="AD105" s="22"/>
      <c r="AE105" s="10"/>
      <c r="AF105" s="23"/>
      <c r="AG105" s="11"/>
      <c r="AH105" s="24"/>
      <c r="AI105" s="25"/>
    </row>
    <row r="106" spans="1:35" ht="15.75" customHeight="1" x14ac:dyDescent="0.25">
      <c r="A106" s="14">
        <v>1288</v>
      </c>
      <c r="B106" s="15" t="s">
        <v>246</v>
      </c>
      <c r="C106" s="60">
        <v>31476</v>
      </c>
      <c r="D106" s="61" t="s">
        <v>247</v>
      </c>
      <c r="E106" s="62"/>
      <c r="F106" s="63">
        <v>46181</v>
      </c>
      <c r="G106" s="64">
        <f t="shared" si="15"/>
        <v>46225</v>
      </c>
      <c r="H106" s="65">
        <f t="shared" si="16"/>
        <v>46270</v>
      </c>
      <c r="I106" s="43" t="s">
        <v>37</v>
      </c>
      <c r="J106" s="43" t="s">
        <v>43</v>
      </c>
      <c r="K106" s="44">
        <v>2158</v>
      </c>
      <c r="L106" s="45">
        <v>5.1999999999999998E-2</v>
      </c>
      <c r="M106" s="44">
        <f t="shared" si="17"/>
        <v>112.21599999999999</v>
      </c>
      <c r="N106" s="44">
        <v>2270.2199999999998</v>
      </c>
      <c r="O106" s="16"/>
      <c r="P106" s="33">
        <v>2270.2159999999999</v>
      </c>
      <c r="Q106" s="34"/>
      <c r="R106" s="19">
        <f t="shared" si="14"/>
        <v>0</v>
      </c>
      <c r="S106" s="19"/>
      <c r="T106" s="20"/>
      <c r="U106" s="20"/>
      <c r="V106" s="21"/>
      <c r="W106" s="19"/>
      <c r="X106" s="19"/>
      <c r="Y106" s="19"/>
      <c r="Z106" s="7"/>
      <c r="AA106" s="22"/>
      <c r="AB106" s="22"/>
      <c r="AC106" s="22"/>
      <c r="AD106" s="22"/>
      <c r="AE106" s="10"/>
      <c r="AF106" s="23"/>
      <c r="AG106" s="11"/>
      <c r="AH106" s="24"/>
      <c r="AI106" s="25"/>
    </row>
    <row r="107" spans="1:35" ht="15.75" customHeight="1" x14ac:dyDescent="0.25">
      <c r="A107" s="14">
        <v>1289</v>
      </c>
      <c r="B107" s="15" t="s">
        <v>248</v>
      </c>
      <c r="C107" s="60">
        <v>36426</v>
      </c>
      <c r="D107" s="61" t="s">
        <v>249</v>
      </c>
      <c r="E107" s="62"/>
      <c r="F107" s="63">
        <v>46181</v>
      </c>
      <c r="G107" s="64">
        <f t="shared" si="15"/>
        <v>46225</v>
      </c>
      <c r="H107" s="65">
        <f t="shared" si="16"/>
        <v>46270</v>
      </c>
      <c r="I107" s="43" t="s">
        <v>37</v>
      </c>
      <c r="J107" s="43" t="s">
        <v>33</v>
      </c>
      <c r="K107" s="44">
        <v>2158</v>
      </c>
      <c r="L107" s="45">
        <v>5.1999999999999998E-2</v>
      </c>
      <c r="M107" s="44">
        <f t="shared" si="17"/>
        <v>112.21599999999999</v>
      </c>
      <c r="N107" s="44">
        <v>2270.2199999999998</v>
      </c>
      <c r="O107" s="16"/>
      <c r="P107" s="33">
        <v>2270.2159999999999</v>
      </c>
      <c r="Q107" s="34"/>
      <c r="R107" s="19">
        <f t="shared" si="14"/>
        <v>0</v>
      </c>
      <c r="S107" s="19"/>
      <c r="T107" s="20"/>
      <c r="U107" s="20"/>
      <c r="V107" s="21"/>
      <c r="W107" s="19"/>
      <c r="X107" s="19"/>
      <c r="Y107" s="19"/>
      <c r="Z107" s="7"/>
      <c r="AA107" s="22"/>
      <c r="AB107" s="22"/>
      <c r="AC107" s="22"/>
      <c r="AD107" s="22"/>
      <c r="AE107" s="10"/>
      <c r="AF107" s="23"/>
      <c r="AG107" s="11"/>
      <c r="AH107" s="24"/>
      <c r="AI107" s="25"/>
    </row>
    <row r="108" spans="1:35" ht="15.75" customHeight="1" x14ac:dyDescent="0.25">
      <c r="A108" s="14">
        <v>1270</v>
      </c>
      <c r="B108" s="15" t="s">
        <v>250</v>
      </c>
      <c r="C108" s="60">
        <v>36939</v>
      </c>
      <c r="D108" s="61" t="s">
        <v>251</v>
      </c>
      <c r="E108" s="62"/>
      <c r="F108" s="63">
        <v>46164</v>
      </c>
      <c r="G108" s="64">
        <f t="shared" si="15"/>
        <v>46208</v>
      </c>
      <c r="H108" s="65">
        <f t="shared" si="16"/>
        <v>46253</v>
      </c>
      <c r="I108" s="43" t="s">
        <v>37</v>
      </c>
      <c r="J108" s="43" t="s">
        <v>60</v>
      </c>
      <c r="K108" s="44">
        <v>2158</v>
      </c>
      <c r="L108" s="45">
        <v>5.1999999999999998E-2</v>
      </c>
      <c r="M108" s="44">
        <f t="shared" si="17"/>
        <v>112.21599999999999</v>
      </c>
      <c r="N108" s="44">
        <v>2270.2199999999998</v>
      </c>
      <c r="O108" s="16"/>
      <c r="P108" s="33">
        <v>2270.2159999999999</v>
      </c>
      <c r="Q108" s="34"/>
      <c r="R108" s="19">
        <f t="shared" si="14"/>
        <v>0</v>
      </c>
      <c r="S108" s="19"/>
      <c r="T108" s="20"/>
      <c r="U108" s="20"/>
      <c r="V108" s="21"/>
      <c r="W108" s="19"/>
      <c r="X108" s="19"/>
      <c r="Y108" s="19"/>
      <c r="Z108" s="7"/>
      <c r="AA108" s="22"/>
      <c r="AB108" s="22"/>
      <c r="AC108" s="22"/>
      <c r="AD108" s="22"/>
      <c r="AE108" s="10"/>
      <c r="AF108" s="23"/>
      <c r="AG108" s="11"/>
      <c r="AH108" s="24"/>
      <c r="AI108" s="25"/>
    </row>
    <row r="109" spans="1:35" ht="15.75" customHeight="1" x14ac:dyDescent="0.25">
      <c r="A109" s="14">
        <v>1214</v>
      </c>
      <c r="B109" s="15" t="s">
        <v>252</v>
      </c>
      <c r="C109" s="60">
        <v>33917</v>
      </c>
      <c r="D109" s="61" t="s">
        <v>253</v>
      </c>
      <c r="E109" s="62"/>
      <c r="F109" s="63">
        <v>46037</v>
      </c>
      <c r="G109" s="64">
        <f t="shared" si="15"/>
        <v>46081</v>
      </c>
      <c r="H109" s="65">
        <f t="shared" si="16"/>
        <v>46126</v>
      </c>
      <c r="I109" s="43" t="s">
        <v>37</v>
      </c>
      <c r="J109" s="43" t="s">
        <v>73</v>
      </c>
      <c r="K109" s="44">
        <v>2158</v>
      </c>
      <c r="L109" s="45">
        <v>5.1999999999999998E-2</v>
      </c>
      <c r="M109" s="44">
        <f t="shared" si="17"/>
        <v>112.21599999999999</v>
      </c>
      <c r="N109" s="44">
        <v>2270.2199999999998</v>
      </c>
      <c r="O109" s="16"/>
      <c r="P109" s="33">
        <v>2270.2159999999999</v>
      </c>
      <c r="Q109" s="34"/>
      <c r="R109" s="19">
        <f t="shared" si="14"/>
        <v>0</v>
      </c>
      <c r="S109" s="19"/>
      <c r="T109" s="20"/>
      <c r="U109" s="20"/>
      <c r="V109" s="21"/>
      <c r="W109" s="19"/>
      <c r="X109" s="19"/>
      <c r="Y109" s="19"/>
      <c r="Z109" s="7"/>
      <c r="AA109" s="22"/>
      <c r="AB109" s="22"/>
      <c r="AC109" s="22"/>
      <c r="AD109" s="22"/>
      <c r="AE109" s="10"/>
      <c r="AF109" s="23"/>
      <c r="AG109" s="11"/>
      <c r="AH109" s="24"/>
      <c r="AI109" s="25"/>
    </row>
    <row r="110" spans="1:35" ht="15.75" customHeight="1" x14ac:dyDescent="0.25">
      <c r="A110" s="14">
        <v>1136</v>
      </c>
      <c r="B110" s="15" t="s">
        <v>254</v>
      </c>
      <c r="C110" s="60">
        <v>39498</v>
      </c>
      <c r="D110" s="61" t="s">
        <v>255</v>
      </c>
      <c r="E110" s="62"/>
      <c r="F110" s="63">
        <v>45825</v>
      </c>
      <c r="G110" s="64">
        <f t="shared" si="15"/>
        <v>45869</v>
      </c>
      <c r="H110" s="65">
        <f t="shared" si="16"/>
        <v>45914</v>
      </c>
      <c r="I110" s="43" t="s">
        <v>37</v>
      </c>
      <c r="J110" s="43" t="s">
        <v>43</v>
      </c>
      <c r="K110" s="44">
        <v>2158</v>
      </c>
      <c r="L110" s="45">
        <v>5.1999999999999998E-2</v>
      </c>
      <c r="M110" s="44">
        <f t="shared" si="17"/>
        <v>112.21599999999999</v>
      </c>
      <c r="N110" s="44">
        <v>2270.2199999999998</v>
      </c>
      <c r="O110" s="16"/>
      <c r="P110" s="33">
        <v>2270.2159999999999</v>
      </c>
      <c r="Q110" s="34"/>
      <c r="R110" s="19">
        <f t="shared" ref="R110:R118" si="18">P110*Q110</f>
        <v>0</v>
      </c>
      <c r="S110" s="19"/>
      <c r="T110" s="20"/>
      <c r="U110" s="20"/>
      <c r="V110" s="21"/>
      <c r="W110" s="19"/>
      <c r="X110" s="19"/>
      <c r="Y110" s="19"/>
      <c r="Z110" s="7"/>
      <c r="AA110" s="22"/>
      <c r="AB110" s="22"/>
      <c r="AC110" s="22"/>
      <c r="AD110" s="22"/>
      <c r="AE110" s="10"/>
      <c r="AF110" s="23"/>
      <c r="AG110" s="11"/>
      <c r="AH110" s="24"/>
      <c r="AI110" s="25"/>
    </row>
    <row r="111" spans="1:35" ht="14.25" customHeight="1" x14ac:dyDescent="0.25">
      <c r="A111" s="14">
        <v>1241</v>
      </c>
      <c r="B111" s="15" t="s">
        <v>256</v>
      </c>
      <c r="C111" s="60">
        <v>30409</v>
      </c>
      <c r="D111" s="61" t="s">
        <v>257</v>
      </c>
      <c r="E111" s="62"/>
      <c r="F111" s="63">
        <v>46087</v>
      </c>
      <c r="G111" s="64">
        <f t="shared" si="15"/>
        <v>46131</v>
      </c>
      <c r="H111" s="65">
        <f t="shared" si="16"/>
        <v>46176</v>
      </c>
      <c r="I111" s="43" t="s">
        <v>37</v>
      </c>
      <c r="J111" s="43" t="s">
        <v>43</v>
      </c>
      <c r="K111" s="44">
        <v>2158</v>
      </c>
      <c r="L111" s="45">
        <v>5.1999999999999998E-2</v>
      </c>
      <c r="M111" s="44">
        <f t="shared" si="17"/>
        <v>112.21599999999999</v>
      </c>
      <c r="N111" s="44">
        <v>2270.2199999999998</v>
      </c>
      <c r="O111" s="16"/>
      <c r="P111" s="33">
        <v>2270.2159999999999</v>
      </c>
      <c r="Q111" s="34"/>
      <c r="R111" s="19">
        <f t="shared" si="18"/>
        <v>0</v>
      </c>
      <c r="S111" s="19"/>
      <c r="T111" s="20"/>
      <c r="U111" s="20"/>
      <c r="V111" s="21"/>
      <c r="W111" s="19"/>
      <c r="X111" s="19"/>
      <c r="Y111" s="19"/>
      <c r="Z111" s="7"/>
      <c r="AA111" s="22"/>
      <c r="AB111" s="22"/>
      <c r="AC111" s="22"/>
      <c r="AD111" s="22"/>
      <c r="AE111" s="10"/>
      <c r="AF111" s="23"/>
      <c r="AG111" s="11"/>
      <c r="AH111" s="24"/>
      <c r="AI111" s="25"/>
    </row>
    <row r="112" spans="1:35" ht="15.75" customHeight="1" x14ac:dyDescent="0.25">
      <c r="A112" s="14">
        <v>1301</v>
      </c>
      <c r="B112" s="30" t="s">
        <v>258</v>
      </c>
      <c r="C112" s="60">
        <v>38377</v>
      </c>
      <c r="D112" s="61" t="s">
        <v>259</v>
      </c>
      <c r="E112" s="62"/>
      <c r="F112" s="63">
        <v>46218</v>
      </c>
      <c r="G112" s="64">
        <f t="shared" si="15"/>
        <v>46262</v>
      </c>
      <c r="H112" s="65">
        <f t="shared" si="16"/>
        <v>46307</v>
      </c>
      <c r="I112" s="43" t="s">
        <v>37</v>
      </c>
      <c r="J112" s="43" t="s">
        <v>43</v>
      </c>
      <c r="K112" s="44">
        <v>2158</v>
      </c>
      <c r="L112" s="45">
        <v>5.1999999999999998E-2</v>
      </c>
      <c r="M112" s="44">
        <f t="shared" si="17"/>
        <v>112.21599999999999</v>
      </c>
      <c r="N112" s="44">
        <v>2270.2199999999998</v>
      </c>
      <c r="O112" s="16"/>
      <c r="P112" s="17">
        <v>2270.2159999999999</v>
      </c>
      <c r="Q112" s="18"/>
      <c r="R112" s="19">
        <f t="shared" si="18"/>
        <v>0</v>
      </c>
      <c r="S112" s="19"/>
      <c r="T112" s="20"/>
      <c r="U112" s="20"/>
      <c r="V112" s="21"/>
      <c r="W112" s="35"/>
      <c r="X112" s="35"/>
      <c r="Y112" s="35"/>
      <c r="Z112" s="36"/>
      <c r="AA112" s="37"/>
      <c r="AB112" s="37"/>
      <c r="AC112" s="37"/>
      <c r="AD112" s="37"/>
      <c r="AE112" s="10"/>
      <c r="AF112" s="38"/>
      <c r="AG112" s="38"/>
      <c r="AH112" s="38"/>
      <c r="AI112" s="39"/>
    </row>
    <row r="113" spans="1:35" ht="15.75" customHeight="1" x14ac:dyDescent="0.25">
      <c r="A113" s="14">
        <v>1226</v>
      </c>
      <c r="B113" s="30" t="s">
        <v>260</v>
      </c>
      <c r="C113" s="60">
        <v>35419</v>
      </c>
      <c r="D113" s="61" t="s">
        <v>261</v>
      </c>
      <c r="E113" s="62"/>
      <c r="F113" s="63">
        <v>46056</v>
      </c>
      <c r="G113" s="64">
        <f t="shared" si="15"/>
        <v>46100</v>
      </c>
      <c r="H113" s="65">
        <f t="shared" si="16"/>
        <v>46145</v>
      </c>
      <c r="I113" s="43" t="s">
        <v>37</v>
      </c>
      <c r="J113" s="43" t="s">
        <v>60</v>
      </c>
      <c r="K113" s="44">
        <v>2158</v>
      </c>
      <c r="L113" s="45">
        <v>5.1999999999999998E-2</v>
      </c>
      <c r="M113" s="44">
        <f t="shared" si="17"/>
        <v>112.21599999999999</v>
      </c>
      <c r="N113" s="44">
        <v>2270.2199999999998</v>
      </c>
      <c r="O113" s="16"/>
      <c r="P113" s="17">
        <v>2270.2159999999999</v>
      </c>
      <c r="Q113" s="18"/>
      <c r="R113" s="19">
        <f t="shared" si="18"/>
        <v>0</v>
      </c>
      <c r="S113" s="19"/>
      <c r="T113" s="20"/>
      <c r="U113" s="20"/>
      <c r="V113" s="21"/>
      <c r="W113" s="19"/>
      <c r="X113" s="19"/>
      <c r="Y113" s="19"/>
      <c r="Z113" s="7"/>
      <c r="AA113" s="22"/>
      <c r="AB113" s="22"/>
      <c r="AC113" s="22"/>
      <c r="AD113" s="22"/>
      <c r="AE113" s="10"/>
      <c r="AF113" s="23"/>
      <c r="AG113" s="11"/>
      <c r="AH113" s="24"/>
      <c r="AI113" s="25"/>
    </row>
    <row r="114" spans="1:35" ht="15.75" customHeight="1" x14ac:dyDescent="0.25">
      <c r="A114" s="14">
        <v>1291</v>
      </c>
      <c r="B114" s="30" t="s">
        <v>262</v>
      </c>
      <c r="C114" s="60">
        <v>36514</v>
      </c>
      <c r="D114" s="61" t="s">
        <v>263</v>
      </c>
      <c r="E114" s="62"/>
      <c r="F114" s="63">
        <v>46181</v>
      </c>
      <c r="G114" s="64">
        <f t="shared" si="15"/>
        <v>46225</v>
      </c>
      <c r="H114" s="65">
        <f t="shared" si="16"/>
        <v>46270</v>
      </c>
      <c r="I114" s="43" t="s">
        <v>37</v>
      </c>
      <c r="J114" s="43" t="s">
        <v>73</v>
      </c>
      <c r="K114" s="44">
        <v>2158</v>
      </c>
      <c r="L114" s="45">
        <v>5.1999999999999998E-2</v>
      </c>
      <c r="M114" s="44">
        <f t="shared" si="17"/>
        <v>112.21599999999999</v>
      </c>
      <c r="N114" s="44">
        <v>2270.2199999999998</v>
      </c>
      <c r="O114" s="16"/>
      <c r="P114" s="17">
        <v>2270.2159999999999</v>
      </c>
      <c r="Q114" s="18"/>
      <c r="R114" s="19">
        <f t="shared" si="18"/>
        <v>0</v>
      </c>
      <c r="S114" s="19"/>
      <c r="T114" s="20"/>
      <c r="U114" s="20"/>
      <c r="V114" s="21"/>
      <c r="W114" s="35"/>
      <c r="X114" s="35"/>
      <c r="Y114" s="35"/>
      <c r="Z114" s="36"/>
      <c r="AA114" s="37"/>
      <c r="AB114" s="37"/>
      <c r="AC114" s="37"/>
      <c r="AD114" s="37"/>
      <c r="AE114" s="10"/>
      <c r="AF114" s="38"/>
      <c r="AG114" s="38"/>
      <c r="AH114" s="38"/>
      <c r="AI114" s="39"/>
    </row>
    <row r="115" spans="1:35" ht="15.75" customHeight="1" x14ac:dyDescent="0.25">
      <c r="A115" s="14">
        <v>1003</v>
      </c>
      <c r="B115" s="30" t="s">
        <v>264</v>
      </c>
      <c r="C115" s="60">
        <v>32989</v>
      </c>
      <c r="D115" s="61" t="s">
        <v>265</v>
      </c>
      <c r="E115" s="62">
        <v>44927</v>
      </c>
      <c r="F115" s="63">
        <v>45078</v>
      </c>
      <c r="G115" s="64">
        <f t="shared" si="15"/>
        <v>45122</v>
      </c>
      <c r="H115" s="65">
        <f t="shared" si="16"/>
        <v>45167</v>
      </c>
      <c r="I115" s="43" t="s">
        <v>118</v>
      </c>
      <c r="J115" s="43" t="s">
        <v>43</v>
      </c>
      <c r="K115" s="44">
        <v>2373.8000000000002</v>
      </c>
      <c r="L115" s="45">
        <v>5.1999999999999998E-2</v>
      </c>
      <c r="M115" s="44">
        <f t="shared" si="17"/>
        <v>123.4376</v>
      </c>
      <c r="N115" s="44">
        <v>2497.2399999999998</v>
      </c>
      <c r="O115" s="16"/>
      <c r="P115" s="17">
        <v>2497.2375999999999</v>
      </c>
      <c r="Q115" s="18">
        <v>0.1</v>
      </c>
      <c r="R115" s="19">
        <f t="shared" si="18"/>
        <v>249.72376</v>
      </c>
      <c r="S115" s="19"/>
      <c r="T115" s="20"/>
      <c r="U115" s="20"/>
      <c r="V115" s="21"/>
      <c r="W115" s="19"/>
      <c r="X115" s="19"/>
      <c r="Y115" s="19"/>
      <c r="Z115" s="7"/>
      <c r="AA115" s="22"/>
      <c r="AB115" s="22"/>
      <c r="AC115" s="22"/>
      <c r="AD115" s="22"/>
      <c r="AE115" s="10"/>
      <c r="AF115" s="23"/>
      <c r="AG115" s="11"/>
      <c r="AH115" s="24"/>
      <c r="AI115" s="25"/>
    </row>
    <row r="116" spans="1:35" ht="15.75" customHeight="1" x14ac:dyDescent="0.25">
      <c r="A116" s="14">
        <v>1263</v>
      </c>
      <c r="B116" s="30" t="s">
        <v>266</v>
      </c>
      <c r="C116" s="60">
        <v>38990</v>
      </c>
      <c r="D116" s="61" t="s">
        <v>267</v>
      </c>
      <c r="E116" s="62"/>
      <c r="F116" s="63">
        <v>46108</v>
      </c>
      <c r="G116" s="64">
        <f t="shared" si="15"/>
        <v>46152</v>
      </c>
      <c r="H116" s="65">
        <f t="shared" si="16"/>
        <v>46197</v>
      </c>
      <c r="I116" s="43" t="s">
        <v>37</v>
      </c>
      <c r="J116" s="43" t="s">
        <v>43</v>
      </c>
      <c r="K116" s="44">
        <v>2158</v>
      </c>
      <c r="L116" s="45">
        <v>5.1999999999999998E-2</v>
      </c>
      <c r="M116" s="44">
        <f t="shared" si="17"/>
        <v>112.21599999999999</v>
      </c>
      <c r="N116" s="44">
        <v>2270.2199999999998</v>
      </c>
      <c r="O116" s="16"/>
      <c r="P116" s="17">
        <v>2270.2159999999999</v>
      </c>
      <c r="Q116" s="18"/>
      <c r="R116" s="19">
        <f t="shared" si="18"/>
        <v>0</v>
      </c>
      <c r="S116" s="19"/>
      <c r="T116" s="20"/>
      <c r="U116" s="20"/>
      <c r="V116" s="21"/>
      <c r="W116" s="19"/>
      <c r="X116" s="19"/>
      <c r="Y116" s="19"/>
      <c r="Z116" s="7"/>
      <c r="AA116" s="22"/>
      <c r="AB116" s="22"/>
      <c r="AC116" s="22"/>
      <c r="AD116" s="22"/>
      <c r="AE116" s="10"/>
      <c r="AF116" s="23"/>
      <c r="AG116" s="11"/>
      <c r="AH116" s="28"/>
      <c r="AI116" s="25"/>
    </row>
    <row r="117" spans="1:35" ht="15.75" customHeight="1" x14ac:dyDescent="0.25">
      <c r="A117" s="14"/>
      <c r="B117" s="30" t="s">
        <v>290</v>
      </c>
      <c r="C117" s="60"/>
      <c r="D117" s="61"/>
      <c r="E117" s="62"/>
      <c r="F117" s="63"/>
      <c r="G117" s="64"/>
      <c r="H117" s="65"/>
      <c r="I117" s="43"/>
      <c r="J117" s="43"/>
      <c r="K117" s="44"/>
      <c r="L117" s="45"/>
      <c r="M117" s="44"/>
      <c r="N117" s="44"/>
      <c r="O117" s="16"/>
      <c r="P117" s="17">
        <v>2270.2159999999999</v>
      </c>
      <c r="Q117" s="18"/>
      <c r="R117" s="19">
        <f t="shared" si="18"/>
        <v>0</v>
      </c>
      <c r="S117" s="19"/>
      <c r="T117" s="20"/>
      <c r="U117" s="20"/>
      <c r="V117" s="21"/>
      <c r="W117" s="19"/>
      <c r="X117" s="19"/>
      <c r="Y117" s="19"/>
      <c r="Z117" s="7"/>
      <c r="AA117" s="22"/>
      <c r="AB117" s="22"/>
      <c r="AC117" s="22"/>
      <c r="AD117" s="22"/>
      <c r="AE117" s="10"/>
      <c r="AF117" s="23"/>
      <c r="AG117" s="11"/>
      <c r="AH117" s="28"/>
      <c r="AI117" s="25"/>
    </row>
    <row r="118" spans="1:35" ht="15.75" customHeight="1" x14ac:dyDescent="0.25">
      <c r="A118" s="14">
        <v>1219</v>
      </c>
      <c r="B118" s="30" t="s">
        <v>286</v>
      </c>
      <c r="C118" s="60">
        <v>37668</v>
      </c>
      <c r="D118" s="61" t="s">
        <v>268</v>
      </c>
      <c r="E118" s="62"/>
      <c r="F118" s="63">
        <v>46045</v>
      </c>
      <c r="G118" s="64">
        <f>F118+44</f>
        <v>46089</v>
      </c>
      <c r="H118" s="65">
        <f>G118+45</f>
        <v>46134</v>
      </c>
      <c r="I118" s="43" t="s">
        <v>37</v>
      </c>
      <c r="J118" s="43" t="s">
        <v>38</v>
      </c>
      <c r="K118" s="44">
        <v>2158</v>
      </c>
      <c r="L118" s="45">
        <v>5.1999999999999998E-2</v>
      </c>
      <c r="M118" s="44">
        <f>K118*L118</f>
        <v>112.21599999999999</v>
      </c>
      <c r="N118" s="44">
        <v>2270.2199999999998</v>
      </c>
      <c r="O118" s="16"/>
      <c r="P118" s="17">
        <v>2270.2159999999999</v>
      </c>
      <c r="Q118" s="18"/>
      <c r="R118" s="19">
        <f t="shared" si="18"/>
        <v>0</v>
      </c>
      <c r="S118" s="19"/>
      <c r="T118" s="20"/>
      <c r="U118" s="20"/>
      <c r="V118" s="21"/>
      <c r="W118" s="19"/>
      <c r="X118" s="19"/>
      <c r="Y118" s="19"/>
      <c r="Z118" s="7"/>
      <c r="AA118" s="22"/>
      <c r="AB118" s="22"/>
      <c r="AC118" s="22"/>
      <c r="AD118" s="22"/>
      <c r="AE118" s="10"/>
      <c r="AF118" s="23"/>
      <c r="AG118" s="11"/>
      <c r="AH118" s="28"/>
      <c r="AI118" s="25"/>
    </row>
    <row r="119" spans="1:35" ht="26.25" customHeight="1" x14ac:dyDescent="0.25">
      <c r="S119" s="41"/>
      <c r="T119" s="40"/>
      <c r="U119" s="40"/>
      <c r="V119" s="41"/>
      <c r="W119" s="42"/>
      <c r="X119" s="42"/>
      <c r="Y119" s="42"/>
      <c r="Z119" s="42"/>
      <c r="AA119" s="42"/>
      <c r="AB119" s="42"/>
      <c r="AC119" s="42"/>
      <c r="AD119" s="42"/>
      <c r="AE119" s="42"/>
      <c r="AI119" s="40"/>
    </row>
    <row r="120" spans="1:35" ht="24.75" customHeight="1" x14ac:dyDescent="0.25">
      <c r="T120" s="40"/>
      <c r="U120" s="40"/>
      <c r="V120" s="41"/>
      <c r="AI120" s="40"/>
    </row>
    <row r="121" spans="1:35" ht="15.75" customHeight="1" x14ac:dyDescent="0.25">
      <c r="T121" s="40"/>
      <c r="U121" s="40"/>
      <c r="V121" s="41"/>
      <c r="AI121" s="40"/>
    </row>
    <row r="122" spans="1:35" ht="15.75" customHeight="1" x14ac:dyDescent="0.25">
      <c r="B122" s="67" t="s">
        <v>269</v>
      </c>
      <c r="C122" s="68">
        <f>COUNTA(B5:B118)</f>
        <v>114</v>
      </c>
      <c r="T122" s="40"/>
      <c r="U122" s="40"/>
      <c r="V122" s="41"/>
      <c r="AI122" s="40"/>
    </row>
    <row r="123" spans="1:35" ht="15.75" customHeight="1" x14ac:dyDescent="0.25">
      <c r="B123" s="67" t="s">
        <v>270</v>
      </c>
      <c r="C123" s="69">
        <f>SUM(T5:T113)</f>
        <v>0</v>
      </c>
      <c r="T123" s="40"/>
      <c r="U123" s="40"/>
      <c r="V123" s="41"/>
      <c r="AI123" s="40"/>
    </row>
    <row r="124" spans="1:35" ht="15.75" customHeight="1" x14ac:dyDescent="0.25">
      <c r="B124" s="67" t="s">
        <v>271</v>
      </c>
      <c r="C124" s="70">
        <f>SUM(U5:U113)</f>
        <v>0</v>
      </c>
      <c r="T124" s="40"/>
      <c r="U124" s="40"/>
      <c r="V124" s="41"/>
      <c r="AI124" s="40"/>
    </row>
    <row r="125" spans="1:35" ht="15.75" customHeight="1" x14ac:dyDescent="0.25">
      <c r="B125" s="67" t="s">
        <v>272</v>
      </c>
      <c r="C125" s="71">
        <f>SUM(C123:C124)</f>
        <v>0</v>
      </c>
      <c r="T125" s="40"/>
      <c r="U125" s="40"/>
      <c r="V125" s="41"/>
      <c r="AI125" s="40"/>
    </row>
    <row r="126" spans="1:35" ht="15.75" customHeight="1" x14ac:dyDescent="0.25">
      <c r="T126" s="40"/>
      <c r="U126" s="40"/>
      <c r="V126" s="41"/>
      <c r="AI126" s="40"/>
    </row>
    <row r="127" spans="1:35" ht="15.75" customHeight="1" x14ac:dyDescent="0.25">
      <c r="T127" s="40"/>
      <c r="U127" s="40"/>
      <c r="V127" s="41"/>
      <c r="AI127" s="40"/>
    </row>
    <row r="128" spans="1:35" ht="15.75" customHeight="1" x14ac:dyDescent="0.25">
      <c r="T128" s="40"/>
      <c r="U128" s="40"/>
      <c r="V128" s="41"/>
      <c r="AI128" s="40"/>
    </row>
    <row r="129" spans="20:35" ht="15.75" customHeight="1" x14ac:dyDescent="0.25">
      <c r="T129" s="40"/>
      <c r="U129" s="40"/>
      <c r="V129" s="41"/>
      <c r="AI129" s="40"/>
    </row>
    <row r="130" spans="20:35" ht="15.75" customHeight="1" x14ac:dyDescent="0.25">
      <c r="T130" s="40"/>
      <c r="U130" s="40"/>
      <c r="V130" s="41"/>
      <c r="AI130" s="40"/>
    </row>
    <row r="131" spans="20:35" ht="15.75" customHeight="1" x14ac:dyDescent="0.25">
      <c r="T131" s="40"/>
      <c r="U131" s="40"/>
      <c r="V131" s="41"/>
      <c r="AI131" s="40"/>
    </row>
    <row r="132" spans="20:35" ht="15.75" customHeight="1" x14ac:dyDescent="0.25">
      <c r="T132" s="40"/>
      <c r="U132" s="40"/>
      <c r="V132" s="41"/>
      <c r="AI132" s="40"/>
    </row>
    <row r="133" spans="20:35" ht="15.75" customHeight="1" x14ac:dyDescent="0.25">
      <c r="T133" s="40"/>
      <c r="U133" s="40"/>
      <c r="V133" s="41"/>
      <c r="AI133" s="40"/>
    </row>
    <row r="134" spans="20:35" ht="15.75" customHeight="1" x14ac:dyDescent="0.25">
      <c r="T134" s="40"/>
      <c r="U134" s="40"/>
      <c r="V134" s="41"/>
      <c r="AI134" s="40"/>
    </row>
    <row r="135" spans="20:35" ht="15.75" customHeight="1" x14ac:dyDescent="0.25">
      <c r="T135" s="40"/>
      <c r="U135" s="40"/>
      <c r="V135" s="41"/>
      <c r="AI135" s="40"/>
    </row>
    <row r="136" spans="20:35" ht="15.75" customHeight="1" x14ac:dyDescent="0.25">
      <c r="T136" s="40"/>
      <c r="U136" s="40"/>
      <c r="V136" s="41"/>
      <c r="AI136" s="40"/>
    </row>
    <row r="137" spans="20:35" ht="15.75" customHeight="1" x14ac:dyDescent="0.25">
      <c r="T137" s="40"/>
      <c r="U137" s="40"/>
      <c r="V137" s="41"/>
      <c r="AI137" s="40"/>
    </row>
    <row r="138" spans="20:35" ht="15.75" customHeight="1" x14ac:dyDescent="0.25">
      <c r="T138" s="40"/>
      <c r="U138" s="40"/>
      <c r="V138" s="41"/>
      <c r="AI138" s="40"/>
    </row>
    <row r="139" spans="20:35" ht="15.75" customHeight="1" x14ac:dyDescent="0.25">
      <c r="T139" s="40"/>
      <c r="U139" s="40"/>
      <c r="V139" s="41"/>
      <c r="AI139" s="40"/>
    </row>
    <row r="140" spans="20:35" ht="15.75" customHeight="1" x14ac:dyDescent="0.25">
      <c r="T140" s="40"/>
      <c r="U140" s="40"/>
      <c r="V140" s="41"/>
      <c r="AI140" s="40"/>
    </row>
    <row r="141" spans="20:35" ht="15.75" customHeight="1" x14ac:dyDescent="0.25">
      <c r="T141" s="40"/>
      <c r="U141" s="40"/>
      <c r="V141" s="41"/>
      <c r="AI141" s="40"/>
    </row>
    <row r="142" spans="20:35" ht="15.75" customHeight="1" x14ac:dyDescent="0.25">
      <c r="T142" s="40"/>
      <c r="U142" s="40"/>
      <c r="V142" s="41"/>
      <c r="AI142" s="40"/>
    </row>
    <row r="143" spans="20:35" ht="15.75" customHeight="1" x14ac:dyDescent="0.25">
      <c r="T143" s="40"/>
      <c r="U143" s="40"/>
      <c r="V143" s="41"/>
      <c r="AI143" s="40"/>
    </row>
    <row r="144" spans="20:35" ht="15.75" customHeight="1" x14ac:dyDescent="0.25">
      <c r="T144" s="40"/>
      <c r="U144" s="40"/>
      <c r="V144" s="41"/>
      <c r="AI144" s="40"/>
    </row>
    <row r="145" spans="20:35" ht="15.75" customHeight="1" x14ac:dyDescent="0.25">
      <c r="T145" s="40"/>
      <c r="U145" s="40"/>
      <c r="V145" s="41"/>
      <c r="AI145" s="40"/>
    </row>
    <row r="146" spans="20:35" ht="15.75" customHeight="1" x14ac:dyDescent="0.25">
      <c r="T146" s="40"/>
      <c r="U146" s="40"/>
      <c r="V146" s="41"/>
      <c r="AI146" s="40"/>
    </row>
    <row r="147" spans="20:35" ht="15.75" customHeight="1" x14ac:dyDescent="0.25">
      <c r="T147" s="40"/>
      <c r="U147" s="40"/>
      <c r="V147" s="41"/>
      <c r="AI147" s="40"/>
    </row>
    <row r="148" spans="20:35" ht="15.75" customHeight="1" x14ac:dyDescent="0.25">
      <c r="T148" s="40"/>
      <c r="U148" s="40"/>
      <c r="V148" s="41"/>
      <c r="AI148" s="40"/>
    </row>
    <row r="149" spans="20:35" ht="15.75" customHeight="1" x14ac:dyDescent="0.25">
      <c r="T149" s="40"/>
      <c r="U149" s="40"/>
      <c r="V149" s="41"/>
      <c r="AI149" s="40"/>
    </row>
    <row r="150" spans="20:35" ht="15.75" customHeight="1" x14ac:dyDescent="0.25">
      <c r="T150" s="40"/>
      <c r="U150" s="40"/>
      <c r="V150" s="41"/>
      <c r="AI150" s="40"/>
    </row>
    <row r="151" spans="20:35" ht="15.75" customHeight="1" x14ac:dyDescent="0.25">
      <c r="T151" s="40"/>
      <c r="U151" s="40"/>
      <c r="V151" s="41"/>
      <c r="AI151" s="40"/>
    </row>
    <row r="152" spans="20:35" ht="15.75" customHeight="1" x14ac:dyDescent="0.25">
      <c r="T152" s="40"/>
      <c r="U152" s="40"/>
      <c r="V152" s="41"/>
      <c r="AI152" s="40"/>
    </row>
    <row r="153" spans="20:35" ht="15.75" customHeight="1" x14ac:dyDescent="0.25">
      <c r="T153" s="40"/>
      <c r="U153" s="40"/>
      <c r="V153" s="41"/>
      <c r="AI153" s="40"/>
    </row>
    <row r="154" spans="20:35" ht="15.75" customHeight="1" x14ac:dyDescent="0.25">
      <c r="T154" s="40"/>
      <c r="U154" s="40"/>
      <c r="V154" s="41"/>
      <c r="AI154" s="40"/>
    </row>
    <row r="155" spans="20:35" ht="15.75" customHeight="1" x14ac:dyDescent="0.25">
      <c r="T155" s="40"/>
      <c r="U155" s="40"/>
      <c r="V155" s="41"/>
      <c r="AI155" s="40"/>
    </row>
    <row r="156" spans="20:35" ht="15.75" customHeight="1" x14ac:dyDescent="0.25">
      <c r="T156" s="40"/>
      <c r="U156" s="40"/>
      <c r="V156" s="41"/>
      <c r="AI156" s="40"/>
    </row>
    <row r="157" spans="20:35" ht="15.75" customHeight="1" x14ac:dyDescent="0.25">
      <c r="T157" s="40"/>
      <c r="U157" s="40"/>
      <c r="V157" s="41"/>
      <c r="AI157" s="40"/>
    </row>
    <row r="158" spans="20:35" ht="15.75" customHeight="1" x14ac:dyDescent="0.25">
      <c r="T158" s="40"/>
      <c r="U158" s="40"/>
      <c r="V158" s="41"/>
      <c r="AI158" s="40"/>
    </row>
    <row r="159" spans="20:35" ht="15.75" customHeight="1" x14ac:dyDescent="0.25">
      <c r="T159" s="40"/>
      <c r="U159" s="40"/>
      <c r="V159" s="41"/>
      <c r="AI159" s="40"/>
    </row>
    <row r="160" spans="20:35" ht="15.75" customHeight="1" x14ac:dyDescent="0.25">
      <c r="T160" s="40"/>
      <c r="U160" s="40"/>
      <c r="V160" s="41"/>
      <c r="AI160" s="40"/>
    </row>
    <row r="161" spans="20:35" ht="15.75" customHeight="1" x14ac:dyDescent="0.25">
      <c r="T161" s="40"/>
      <c r="U161" s="40"/>
      <c r="V161" s="41"/>
      <c r="AI161" s="40"/>
    </row>
    <row r="162" spans="20:35" ht="15.75" customHeight="1" x14ac:dyDescent="0.25">
      <c r="T162" s="40"/>
      <c r="U162" s="40"/>
      <c r="V162" s="41"/>
      <c r="AI162" s="40"/>
    </row>
    <row r="163" spans="20:35" ht="15.75" customHeight="1" x14ac:dyDescent="0.25">
      <c r="T163" s="40"/>
      <c r="U163" s="40"/>
      <c r="V163" s="41"/>
      <c r="AI163" s="40"/>
    </row>
    <row r="164" spans="20:35" ht="15.75" customHeight="1" x14ac:dyDescent="0.25">
      <c r="T164" s="40"/>
      <c r="U164" s="40"/>
      <c r="V164" s="41"/>
      <c r="AI164" s="40"/>
    </row>
    <row r="165" spans="20:35" ht="15.75" customHeight="1" x14ac:dyDescent="0.25">
      <c r="T165" s="40"/>
      <c r="U165" s="40"/>
      <c r="V165" s="41"/>
      <c r="AI165" s="40"/>
    </row>
    <row r="166" spans="20:35" ht="15.75" customHeight="1" x14ac:dyDescent="0.25">
      <c r="T166" s="40"/>
      <c r="U166" s="40"/>
      <c r="V166" s="41"/>
      <c r="AI166" s="40"/>
    </row>
    <row r="167" spans="20:35" ht="15.75" customHeight="1" x14ac:dyDescent="0.25">
      <c r="T167" s="40"/>
      <c r="U167" s="40"/>
      <c r="V167" s="41"/>
      <c r="AI167" s="40"/>
    </row>
    <row r="168" spans="20:35" ht="15.75" customHeight="1" x14ac:dyDescent="0.25">
      <c r="T168" s="40"/>
      <c r="U168" s="40"/>
      <c r="V168" s="41"/>
      <c r="AI168" s="40"/>
    </row>
    <row r="169" spans="20:35" ht="15.75" customHeight="1" x14ac:dyDescent="0.25">
      <c r="T169" s="40"/>
      <c r="U169" s="40"/>
      <c r="V169" s="41"/>
      <c r="AI169" s="40"/>
    </row>
    <row r="170" spans="20:35" ht="15.75" customHeight="1" x14ac:dyDescent="0.25">
      <c r="T170" s="40"/>
      <c r="U170" s="40"/>
      <c r="V170" s="41"/>
      <c r="AI170" s="40"/>
    </row>
    <row r="171" spans="20:35" ht="15.75" customHeight="1" x14ac:dyDescent="0.25">
      <c r="T171" s="40"/>
      <c r="U171" s="40"/>
      <c r="V171" s="41"/>
      <c r="AI171" s="40"/>
    </row>
    <row r="172" spans="20:35" ht="15.75" customHeight="1" x14ac:dyDescent="0.25">
      <c r="T172" s="40"/>
      <c r="U172" s="40"/>
      <c r="V172" s="41"/>
      <c r="AI172" s="40"/>
    </row>
    <row r="173" spans="20:35" ht="15.75" customHeight="1" x14ac:dyDescent="0.25">
      <c r="T173" s="40"/>
      <c r="U173" s="40"/>
      <c r="V173" s="41"/>
      <c r="AI173" s="40"/>
    </row>
    <row r="174" spans="20:35" ht="15.75" customHeight="1" x14ac:dyDescent="0.25">
      <c r="T174" s="40"/>
      <c r="U174" s="40"/>
      <c r="V174" s="41"/>
      <c r="AI174" s="40"/>
    </row>
    <row r="175" spans="20:35" ht="15.75" customHeight="1" x14ac:dyDescent="0.25">
      <c r="T175" s="40"/>
      <c r="U175" s="40"/>
      <c r="V175" s="41"/>
      <c r="AI175" s="40"/>
    </row>
    <row r="176" spans="20:35" ht="15.75" customHeight="1" x14ac:dyDescent="0.25">
      <c r="T176" s="40"/>
      <c r="U176" s="40"/>
      <c r="V176" s="41"/>
      <c r="AI176" s="40"/>
    </row>
    <row r="177" spans="20:35" ht="15.75" customHeight="1" x14ac:dyDescent="0.25">
      <c r="T177" s="40"/>
      <c r="U177" s="40"/>
      <c r="V177" s="41"/>
      <c r="AI177" s="40"/>
    </row>
    <row r="178" spans="20:35" ht="15.75" customHeight="1" x14ac:dyDescent="0.25">
      <c r="T178" s="40"/>
      <c r="U178" s="40"/>
      <c r="V178" s="41"/>
      <c r="AI178" s="40"/>
    </row>
    <row r="179" spans="20:35" ht="15.75" customHeight="1" x14ac:dyDescent="0.25">
      <c r="T179" s="40"/>
      <c r="U179" s="40"/>
      <c r="V179" s="41"/>
      <c r="AI179" s="40"/>
    </row>
    <row r="180" spans="20:35" ht="15.75" customHeight="1" x14ac:dyDescent="0.25">
      <c r="T180" s="40"/>
      <c r="U180" s="40"/>
      <c r="V180" s="41"/>
      <c r="AI180" s="40"/>
    </row>
    <row r="181" spans="20:35" ht="15.75" customHeight="1" x14ac:dyDescent="0.25">
      <c r="T181" s="40"/>
      <c r="U181" s="40"/>
      <c r="V181" s="41"/>
      <c r="AI181" s="40"/>
    </row>
    <row r="182" spans="20:35" ht="15.75" customHeight="1" x14ac:dyDescent="0.25">
      <c r="T182" s="40"/>
      <c r="U182" s="40"/>
      <c r="V182" s="41"/>
      <c r="AI182" s="40"/>
    </row>
    <row r="183" spans="20:35" ht="15.75" customHeight="1" x14ac:dyDescent="0.25">
      <c r="T183" s="40"/>
      <c r="U183" s="40"/>
      <c r="V183" s="41"/>
      <c r="AI183" s="40"/>
    </row>
    <row r="184" spans="20:35" ht="15.75" customHeight="1" x14ac:dyDescent="0.25">
      <c r="T184" s="40"/>
      <c r="U184" s="40"/>
      <c r="V184" s="41"/>
      <c r="AI184" s="40"/>
    </row>
    <row r="185" spans="20:35" ht="15.75" customHeight="1" x14ac:dyDescent="0.25">
      <c r="T185" s="40"/>
      <c r="U185" s="40"/>
      <c r="V185" s="41"/>
      <c r="AI185" s="40"/>
    </row>
    <row r="186" spans="20:35" ht="15.75" customHeight="1" x14ac:dyDescent="0.25">
      <c r="T186" s="40"/>
      <c r="U186" s="40"/>
      <c r="V186" s="41"/>
      <c r="AI186" s="40"/>
    </row>
    <row r="187" spans="20:35" ht="15.75" customHeight="1" x14ac:dyDescent="0.25">
      <c r="T187" s="40"/>
      <c r="U187" s="40"/>
      <c r="V187" s="41"/>
      <c r="AI187" s="40"/>
    </row>
    <row r="188" spans="20:35" ht="15.75" customHeight="1" x14ac:dyDescent="0.25">
      <c r="T188" s="40"/>
      <c r="U188" s="40"/>
      <c r="V188" s="41"/>
      <c r="AI188" s="40"/>
    </row>
    <row r="189" spans="20:35" ht="15.75" customHeight="1" x14ac:dyDescent="0.25">
      <c r="T189" s="40"/>
      <c r="U189" s="40"/>
      <c r="V189" s="41"/>
      <c r="AI189" s="40"/>
    </row>
    <row r="190" spans="20:35" ht="15.75" customHeight="1" x14ac:dyDescent="0.25">
      <c r="T190" s="40"/>
      <c r="U190" s="40"/>
      <c r="V190" s="41"/>
      <c r="AI190" s="40"/>
    </row>
    <row r="191" spans="20:35" ht="15.75" customHeight="1" x14ac:dyDescent="0.25">
      <c r="T191" s="40"/>
      <c r="U191" s="40"/>
      <c r="V191" s="41"/>
      <c r="AI191" s="40"/>
    </row>
    <row r="192" spans="20:35" ht="15.75" customHeight="1" x14ac:dyDescent="0.25">
      <c r="T192" s="40"/>
      <c r="U192" s="40"/>
      <c r="V192" s="41"/>
      <c r="AI192" s="40"/>
    </row>
    <row r="193" spans="20:35" ht="15.75" customHeight="1" x14ac:dyDescent="0.25">
      <c r="T193" s="40"/>
      <c r="U193" s="40"/>
      <c r="V193" s="41"/>
      <c r="AI193" s="40"/>
    </row>
    <row r="194" spans="20:35" ht="15.75" customHeight="1" x14ac:dyDescent="0.25">
      <c r="T194" s="40"/>
      <c r="U194" s="40"/>
      <c r="V194" s="41"/>
      <c r="AI194" s="40"/>
    </row>
    <row r="195" spans="20:35" ht="15.75" customHeight="1" x14ac:dyDescent="0.25">
      <c r="T195" s="40"/>
      <c r="U195" s="40"/>
      <c r="V195" s="41"/>
      <c r="AI195" s="40"/>
    </row>
    <row r="196" spans="20:35" ht="15.75" customHeight="1" x14ac:dyDescent="0.25">
      <c r="T196" s="40"/>
      <c r="U196" s="40"/>
      <c r="V196" s="41"/>
      <c r="AI196" s="40"/>
    </row>
    <row r="197" spans="20:35" ht="15.75" customHeight="1" x14ac:dyDescent="0.25">
      <c r="T197" s="40"/>
      <c r="U197" s="40"/>
      <c r="V197" s="41"/>
      <c r="AI197" s="40"/>
    </row>
    <row r="198" spans="20:35" ht="15.75" customHeight="1" x14ac:dyDescent="0.25">
      <c r="T198" s="40"/>
      <c r="U198" s="40"/>
      <c r="V198" s="41"/>
      <c r="AI198" s="40"/>
    </row>
    <row r="199" spans="20:35" ht="15.75" customHeight="1" x14ac:dyDescent="0.25">
      <c r="T199" s="40"/>
      <c r="U199" s="40"/>
      <c r="V199" s="41"/>
      <c r="AI199" s="40"/>
    </row>
    <row r="200" spans="20:35" ht="15.75" customHeight="1" x14ac:dyDescent="0.25">
      <c r="T200" s="40"/>
      <c r="U200" s="40"/>
      <c r="V200" s="41"/>
      <c r="AI200" s="40"/>
    </row>
    <row r="201" spans="20:35" ht="15.75" customHeight="1" x14ac:dyDescent="0.25">
      <c r="T201" s="40"/>
      <c r="U201" s="40"/>
      <c r="V201" s="41"/>
      <c r="AI201" s="40"/>
    </row>
    <row r="202" spans="20:35" ht="15.75" customHeight="1" x14ac:dyDescent="0.25">
      <c r="T202" s="40"/>
      <c r="U202" s="40"/>
      <c r="V202" s="41"/>
      <c r="AI202" s="40"/>
    </row>
    <row r="203" spans="20:35" ht="15.75" customHeight="1" x14ac:dyDescent="0.25">
      <c r="T203" s="40"/>
      <c r="U203" s="40"/>
      <c r="V203" s="41"/>
      <c r="AI203" s="40"/>
    </row>
    <row r="204" spans="20:35" ht="15.75" customHeight="1" x14ac:dyDescent="0.25">
      <c r="T204" s="40"/>
      <c r="U204" s="40"/>
      <c r="V204" s="41"/>
      <c r="AI204" s="40"/>
    </row>
    <row r="205" spans="20:35" ht="15.75" customHeight="1" x14ac:dyDescent="0.25">
      <c r="T205" s="40"/>
      <c r="U205" s="40"/>
      <c r="V205" s="41"/>
      <c r="AI205" s="40"/>
    </row>
    <row r="206" spans="20:35" ht="15.75" customHeight="1" x14ac:dyDescent="0.25">
      <c r="T206" s="40"/>
      <c r="U206" s="40"/>
      <c r="V206" s="41"/>
      <c r="AI206" s="40"/>
    </row>
    <row r="207" spans="20:35" ht="15.75" customHeight="1" x14ac:dyDescent="0.25">
      <c r="T207" s="40"/>
      <c r="U207" s="40"/>
      <c r="V207" s="41"/>
      <c r="AI207" s="40"/>
    </row>
    <row r="208" spans="20:35" ht="15.75" customHeight="1" x14ac:dyDescent="0.25">
      <c r="T208" s="40"/>
      <c r="U208" s="40"/>
      <c r="V208" s="41"/>
      <c r="AI208" s="40"/>
    </row>
    <row r="209" spans="20:35" ht="15.75" customHeight="1" x14ac:dyDescent="0.25">
      <c r="T209" s="40"/>
      <c r="U209" s="40"/>
      <c r="V209" s="41"/>
      <c r="AI209" s="40"/>
    </row>
    <row r="210" spans="20:35" ht="15.75" customHeight="1" x14ac:dyDescent="0.25">
      <c r="T210" s="40"/>
      <c r="U210" s="40"/>
      <c r="V210" s="41"/>
      <c r="AI210" s="40"/>
    </row>
    <row r="211" spans="20:35" ht="15.75" customHeight="1" x14ac:dyDescent="0.25">
      <c r="T211" s="40"/>
      <c r="U211" s="40"/>
      <c r="V211" s="41"/>
      <c r="AI211" s="40"/>
    </row>
    <row r="212" spans="20:35" ht="15.75" customHeight="1" x14ac:dyDescent="0.25">
      <c r="T212" s="40"/>
      <c r="U212" s="40"/>
      <c r="V212" s="41"/>
      <c r="AI212" s="40"/>
    </row>
    <row r="213" spans="20:35" ht="15.75" customHeight="1" x14ac:dyDescent="0.25">
      <c r="T213" s="40"/>
      <c r="U213" s="40"/>
      <c r="V213" s="41"/>
      <c r="AI213" s="40"/>
    </row>
    <row r="214" spans="20:35" ht="15.75" customHeight="1" x14ac:dyDescent="0.25">
      <c r="T214" s="40"/>
      <c r="U214" s="40"/>
      <c r="V214" s="41"/>
      <c r="AI214" s="40"/>
    </row>
    <row r="215" spans="20:35" ht="15.75" customHeight="1" x14ac:dyDescent="0.25">
      <c r="T215" s="40"/>
      <c r="U215" s="40"/>
      <c r="V215" s="41"/>
      <c r="AI215" s="40"/>
    </row>
    <row r="216" spans="20:35" ht="15.75" customHeight="1" x14ac:dyDescent="0.25">
      <c r="T216" s="40"/>
      <c r="U216" s="40"/>
      <c r="V216" s="41"/>
      <c r="AI216" s="40"/>
    </row>
    <row r="217" spans="20:35" ht="15.75" customHeight="1" x14ac:dyDescent="0.25">
      <c r="T217" s="40"/>
      <c r="U217" s="40"/>
      <c r="V217" s="41"/>
      <c r="AI217" s="40"/>
    </row>
    <row r="218" spans="20:35" ht="15.75" customHeight="1" x14ac:dyDescent="0.25">
      <c r="T218" s="40"/>
      <c r="U218" s="40"/>
      <c r="V218" s="41"/>
      <c r="AI218" s="40"/>
    </row>
    <row r="219" spans="20:35" ht="15.75" customHeight="1" x14ac:dyDescent="0.25">
      <c r="T219" s="40"/>
      <c r="U219" s="40"/>
      <c r="V219" s="41"/>
      <c r="AI219" s="40"/>
    </row>
    <row r="220" spans="20:35" ht="15.75" customHeight="1" x14ac:dyDescent="0.25">
      <c r="T220" s="40"/>
      <c r="U220" s="40"/>
      <c r="V220" s="41"/>
      <c r="AI220" s="40"/>
    </row>
    <row r="221" spans="20:35" ht="15.75" customHeight="1" x14ac:dyDescent="0.25">
      <c r="T221" s="40"/>
      <c r="U221" s="40"/>
      <c r="V221" s="41"/>
      <c r="AI221" s="40"/>
    </row>
    <row r="222" spans="20:35" ht="15.75" customHeight="1" x14ac:dyDescent="0.25">
      <c r="T222" s="40"/>
      <c r="U222" s="40"/>
      <c r="V222" s="41"/>
      <c r="AI222" s="40"/>
    </row>
    <row r="223" spans="20:35" ht="15.75" customHeight="1" x14ac:dyDescent="0.25">
      <c r="T223" s="40"/>
      <c r="U223" s="40"/>
      <c r="V223" s="41"/>
      <c r="AI223" s="40"/>
    </row>
    <row r="224" spans="20:35" ht="15.75" customHeight="1" x14ac:dyDescent="0.25">
      <c r="T224" s="40"/>
      <c r="U224" s="40"/>
      <c r="V224" s="41"/>
      <c r="AI224" s="40"/>
    </row>
    <row r="225" spans="20:35" ht="15.75" customHeight="1" x14ac:dyDescent="0.25">
      <c r="T225" s="40"/>
      <c r="U225" s="40"/>
      <c r="V225" s="41"/>
      <c r="AI225" s="40"/>
    </row>
    <row r="226" spans="20:35" ht="15.75" customHeight="1" x14ac:dyDescent="0.25">
      <c r="T226" s="40"/>
      <c r="U226" s="40"/>
      <c r="V226" s="41"/>
      <c r="AI226" s="40"/>
    </row>
    <row r="227" spans="20:35" ht="15.75" customHeight="1" x14ac:dyDescent="0.25">
      <c r="T227" s="40"/>
      <c r="U227" s="40"/>
      <c r="V227" s="41"/>
      <c r="AI227" s="40"/>
    </row>
    <row r="228" spans="20:35" ht="15.75" customHeight="1" x14ac:dyDescent="0.25">
      <c r="T228" s="40"/>
      <c r="U228" s="40"/>
      <c r="V228" s="41"/>
      <c r="AI228" s="40"/>
    </row>
    <row r="229" spans="20:35" ht="15.75" customHeight="1" x14ac:dyDescent="0.25">
      <c r="T229" s="40"/>
      <c r="U229" s="40"/>
      <c r="V229" s="41"/>
      <c r="AI229" s="40"/>
    </row>
    <row r="230" spans="20:35" ht="15.75" customHeight="1" x14ac:dyDescent="0.25">
      <c r="T230" s="40"/>
      <c r="U230" s="40"/>
      <c r="V230" s="41"/>
      <c r="AI230" s="40"/>
    </row>
    <row r="231" spans="20:35" ht="15.75" customHeight="1" x14ac:dyDescent="0.25">
      <c r="T231" s="40"/>
      <c r="U231" s="40"/>
      <c r="V231" s="41"/>
      <c r="AI231" s="40"/>
    </row>
    <row r="232" spans="20:35" ht="15.75" customHeight="1" x14ac:dyDescent="0.25">
      <c r="T232" s="40"/>
      <c r="U232" s="40"/>
      <c r="V232" s="41"/>
      <c r="AI232" s="40"/>
    </row>
    <row r="233" spans="20:35" ht="15.75" customHeight="1" x14ac:dyDescent="0.25">
      <c r="T233" s="40"/>
      <c r="U233" s="40"/>
      <c r="V233" s="41"/>
      <c r="AI233" s="40"/>
    </row>
    <row r="234" spans="20:35" ht="15.75" customHeight="1" x14ac:dyDescent="0.25">
      <c r="T234" s="40"/>
      <c r="U234" s="40"/>
      <c r="V234" s="41"/>
      <c r="AI234" s="40"/>
    </row>
    <row r="235" spans="20:35" ht="15.75" customHeight="1" x14ac:dyDescent="0.25">
      <c r="T235" s="40"/>
      <c r="U235" s="40"/>
      <c r="V235" s="41"/>
      <c r="AI235" s="40"/>
    </row>
    <row r="236" spans="20:35" ht="15.75" customHeight="1" x14ac:dyDescent="0.25">
      <c r="T236" s="40"/>
      <c r="U236" s="40"/>
      <c r="V236" s="41"/>
      <c r="AI236" s="40"/>
    </row>
    <row r="237" spans="20:35" ht="15.75" customHeight="1" x14ac:dyDescent="0.25">
      <c r="T237" s="40"/>
      <c r="U237" s="40"/>
      <c r="V237" s="41"/>
      <c r="AI237" s="40"/>
    </row>
    <row r="238" spans="20:35" ht="15.75" customHeight="1" x14ac:dyDescent="0.25">
      <c r="T238" s="40"/>
      <c r="U238" s="40"/>
      <c r="V238" s="41"/>
      <c r="AI238" s="40"/>
    </row>
    <row r="239" spans="20:35" ht="15.75" customHeight="1" x14ac:dyDescent="0.25">
      <c r="T239" s="40"/>
      <c r="U239" s="40"/>
      <c r="V239" s="41"/>
      <c r="AI239" s="40"/>
    </row>
    <row r="240" spans="20:35" ht="15.75" customHeight="1" x14ac:dyDescent="0.25">
      <c r="T240" s="40"/>
      <c r="U240" s="40"/>
      <c r="V240" s="41"/>
      <c r="AI240" s="40"/>
    </row>
    <row r="241" spans="20:35" ht="15.75" customHeight="1" x14ac:dyDescent="0.25">
      <c r="T241" s="40"/>
      <c r="U241" s="40"/>
      <c r="V241" s="41"/>
      <c r="AI241" s="40"/>
    </row>
    <row r="242" spans="20:35" ht="15.75" customHeight="1" x14ac:dyDescent="0.25">
      <c r="T242" s="40"/>
      <c r="U242" s="40"/>
      <c r="V242" s="41"/>
      <c r="AI242" s="40"/>
    </row>
    <row r="243" spans="20:35" ht="15.75" customHeight="1" x14ac:dyDescent="0.25">
      <c r="T243" s="40"/>
      <c r="U243" s="40"/>
      <c r="V243" s="41"/>
      <c r="AI243" s="40"/>
    </row>
    <row r="244" spans="20:35" ht="15.75" customHeight="1" x14ac:dyDescent="0.25">
      <c r="T244" s="40"/>
      <c r="U244" s="40"/>
      <c r="V244" s="41"/>
      <c r="AI244" s="40"/>
    </row>
    <row r="245" spans="20:35" ht="15.75" customHeight="1" x14ac:dyDescent="0.25">
      <c r="T245" s="40"/>
      <c r="U245" s="40"/>
      <c r="V245" s="41"/>
      <c r="AI245" s="40"/>
    </row>
    <row r="246" spans="20:35" ht="15.75" customHeight="1" x14ac:dyDescent="0.25">
      <c r="T246" s="40"/>
      <c r="U246" s="40"/>
      <c r="V246" s="41"/>
      <c r="AI246" s="40"/>
    </row>
    <row r="247" spans="20:35" ht="15.75" customHeight="1" x14ac:dyDescent="0.25">
      <c r="T247" s="40"/>
      <c r="U247" s="40"/>
      <c r="V247" s="41"/>
      <c r="AI247" s="40"/>
    </row>
    <row r="248" spans="20:35" ht="15.75" customHeight="1" x14ac:dyDescent="0.25">
      <c r="T248" s="40"/>
      <c r="U248" s="40"/>
      <c r="V248" s="41"/>
      <c r="AI248" s="40"/>
    </row>
    <row r="249" spans="20:35" ht="15.75" customHeight="1" x14ac:dyDescent="0.25">
      <c r="T249" s="40"/>
      <c r="U249" s="40"/>
      <c r="V249" s="41"/>
      <c r="AI249" s="40"/>
    </row>
    <row r="250" spans="20:35" ht="15.75" customHeight="1" x14ac:dyDescent="0.25">
      <c r="T250" s="40"/>
      <c r="U250" s="40"/>
      <c r="V250" s="41"/>
      <c r="AI250" s="40"/>
    </row>
    <row r="251" spans="20:35" ht="15.75" customHeight="1" x14ac:dyDescent="0.25">
      <c r="T251" s="40"/>
      <c r="U251" s="40"/>
      <c r="V251" s="41"/>
      <c r="AI251" s="40"/>
    </row>
    <row r="252" spans="20:35" ht="15.75" customHeight="1" x14ac:dyDescent="0.25">
      <c r="T252" s="40"/>
      <c r="U252" s="40"/>
      <c r="V252" s="41"/>
      <c r="AI252" s="40"/>
    </row>
    <row r="253" spans="20:35" ht="15.75" customHeight="1" x14ac:dyDescent="0.25">
      <c r="T253" s="40"/>
      <c r="U253" s="40"/>
      <c r="V253" s="41"/>
      <c r="AI253" s="40"/>
    </row>
    <row r="254" spans="20:35" ht="15.75" customHeight="1" x14ac:dyDescent="0.25">
      <c r="T254" s="40"/>
      <c r="U254" s="40"/>
      <c r="V254" s="41"/>
      <c r="AI254" s="40"/>
    </row>
    <row r="255" spans="20:35" ht="15.75" customHeight="1" x14ac:dyDescent="0.25">
      <c r="T255" s="40"/>
      <c r="U255" s="40"/>
      <c r="V255" s="41"/>
      <c r="AI255" s="40"/>
    </row>
    <row r="256" spans="20:35" ht="15.75" customHeight="1" x14ac:dyDescent="0.25">
      <c r="T256" s="40"/>
      <c r="U256" s="40"/>
      <c r="V256" s="41"/>
      <c r="AI256" s="40"/>
    </row>
    <row r="257" spans="20:35" ht="15.75" customHeight="1" x14ac:dyDescent="0.25">
      <c r="T257" s="40"/>
      <c r="U257" s="40"/>
      <c r="V257" s="41"/>
      <c r="AI257" s="40"/>
    </row>
    <row r="258" spans="20:35" ht="15.75" customHeight="1" x14ac:dyDescent="0.25">
      <c r="T258" s="40"/>
      <c r="U258" s="40"/>
      <c r="V258" s="41"/>
      <c r="AI258" s="40"/>
    </row>
    <row r="259" spans="20:35" ht="15.75" customHeight="1" x14ac:dyDescent="0.25">
      <c r="T259" s="40"/>
      <c r="U259" s="40"/>
      <c r="V259" s="41"/>
      <c r="AI259" s="40"/>
    </row>
    <row r="260" spans="20:35" ht="15.75" customHeight="1" x14ac:dyDescent="0.25">
      <c r="T260" s="40"/>
      <c r="U260" s="40"/>
      <c r="V260" s="41"/>
      <c r="AI260" s="40"/>
    </row>
    <row r="261" spans="20:35" ht="15.75" customHeight="1" x14ac:dyDescent="0.25">
      <c r="T261" s="40"/>
      <c r="U261" s="40"/>
      <c r="V261" s="41"/>
      <c r="AI261" s="40"/>
    </row>
    <row r="262" spans="20:35" ht="15.75" customHeight="1" x14ac:dyDescent="0.25">
      <c r="T262" s="40"/>
      <c r="U262" s="40"/>
      <c r="V262" s="41"/>
      <c r="AI262" s="40"/>
    </row>
    <row r="263" spans="20:35" ht="15.75" customHeight="1" x14ac:dyDescent="0.25">
      <c r="T263" s="40"/>
      <c r="U263" s="40"/>
      <c r="V263" s="41"/>
      <c r="AI263" s="40"/>
    </row>
    <row r="264" spans="20:35" ht="15.75" customHeight="1" x14ac:dyDescent="0.25">
      <c r="T264" s="40"/>
      <c r="U264" s="40"/>
      <c r="V264" s="41"/>
      <c r="AI264" s="40"/>
    </row>
    <row r="265" spans="20:35" ht="15.75" customHeight="1" x14ac:dyDescent="0.25">
      <c r="T265" s="40"/>
      <c r="U265" s="40"/>
      <c r="V265" s="41"/>
      <c r="AI265" s="40"/>
    </row>
    <row r="266" spans="20:35" ht="15.75" customHeight="1" x14ac:dyDescent="0.25">
      <c r="T266" s="40"/>
      <c r="U266" s="40"/>
      <c r="V266" s="41"/>
      <c r="AI266" s="40"/>
    </row>
    <row r="267" spans="20:35" ht="15.75" customHeight="1" x14ac:dyDescent="0.25">
      <c r="T267" s="40"/>
      <c r="U267" s="40"/>
      <c r="V267" s="41"/>
      <c r="AI267" s="40"/>
    </row>
    <row r="268" spans="20:35" ht="15.75" customHeight="1" x14ac:dyDescent="0.25">
      <c r="T268" s="40"/>
      <c r="U268" s="40"/>
      <c r="V268" s="41"/>
      <c r="AI268" s="40"/>
    </row>
    <row r="269" spans="20:35" ht="15.75" customHeight="1" x14ac:dyDescent="0.25">
      <c r="T269" s="40"/>
      <c r="U269" s="40"/>
      <c r="V269" s="41"/>
      <c r="AI269" s="40"/>
    </row>
    <row r="270" spans="20:35" ht="15.75" customHeight="1" x14ac:dyDescent="0.25">
      <c r="T270" s="40"/>
      <c r="U270" s="40"/>
      <c r="V270" s="41"/>
      <c r="AI270" s="40"/>
    </row>
    <row r="271" spans="20:35" ht="15.75" customHeight="1" x14ac:dyDescent="0.25">
      <c r="T271" s="40"/>
      <c r="U271" s="40"/>
      <c r="V271" s="41"/>
      <c r="AI271" s="40"/>
    </row>
    <row r="272" spans="20:35" ht="15.75" customHeight="1" x14ac:dyDescent="0.25">
      <c r="T272" s="40"/>
      <c r="U272" s="40"/>
      <c r="V272" s="41"/>
      <c r="AI272" s="40"/>
    </row>
    <row r="273" spans="20:35" ht="15.75" customHeight="1" x14ac:dyDescent="0.25">
      <c r="T273" s="40"/>
      <c r="U273" s="40"/>
      <c r="V273" s="41"/>
      <c r="AI273" s="40"/>
    </row>
    <row r="274" spans="20:35" ht="15.75" customHeight="1" x14ac:dyDescent="0.25">
      <c r="T274" s="40"/>
      <c r="U274" s="40"/>
      <c r="V274" s="41"/>
      <c r="AI274" s="40"/>
    </row>
    <row r="275" spans="20:35" ht="15.75" customHeight="1" x14ac:dyDescent="0.25">
      <c r="T275" s="40"/>
      <c r="U275" s="40"/>
      <c r="V275" s="41"/>
      <c r="AI275" s="40"/>
    </row>
    <row r="276" spans="20:35" ht="15.75" customHeight="1" x14ac:dyDescent="0.25">
      <c r="T276" s="40"/>
      <c r="U276" s="40"/>
      <c r="V276" s="41"/>
      <c r="AI276" s="40"/>
    </row>
    <row r="277" spans="20:35" ht="15.75" customHeight="1" x14ac:dyDescent="0.25">
      <c r="T277" s="40"/>
      <c r="U277" s="40"/>
      <c r="V277" s="41"/>
      <c r="AI277" s="40"/>
    </row>
    <row r="278" spans="20:35" ht="15.75" customHeight="1" x14ac:dyDescent="0.25">
      <c r="T278" s="40"/>
      <c r="U278" s="40"/>
      <c r="V278" s="41"/>
      <c r="AI278" s="40"/>
    </row>
    <row r="279" spans="20:35" ht="15.75" customHeight="1" x14ac:dyDescent="0.25">
      <c r="T279" s="40"/>
      <c r="U279" s="40"/>
      <c r="V279" s="41"/>
      <c r="AI279" s="40"/>
    </row>
    <row r="280" spans="20:35" ht="15.75" customHeight="1" x14ac:dyDescent="0.25">
      <c r="T280" s="40"/>
      <c r="U280" s="40"/>
      <c r="V280" s="41"/>
      <c r="AI280" s="40"/>
    </row>
    <row r="281" spans="20:35" ht="15.75" customHeight="1" x14ac:dyDescent="0.25">
      <c r="T281" s="40"/>
      <c r="U281" s="40"/>
      <c r="V281" s="41"/>
      <c r="AI281" s="40"/>
    </row>
    <row r="282" spans="20:35" ht="15.75" customHeight="1" x14ac:dyDescent="0.25">
      <c r="T282" s="40"/>
      <c r="U282" s="40"/>
      <c r="V282" s="41"/>
      <c r="AI282" s="40"/>
    </row>
    <row r="283" spans="20:35" ht="15.75" customHeight="1" x14ac:dyDescent="0.25">
      <c r="T283" s="40"/>
      <c r="U283" s="40"/>
      <c r="V283" s="41"/>
      <c r="AI283" s="40"/>
    </row>
    <row r="284" spans="20:35" ht="15.75" customHeight="1" x14ac:dyDescent="0.25">
      <c r="T284" s="40"/>
      <c r="U284" s="40"/>
      <c r="V284" s="41"/>
      <c r="AI284" s="40"/>
    </row>
    <row r="285" spans="20:35" ht="15.75" customHeight="1" x14ac:dyDescent="0.25">
      <c r="T285" s="40"/>
      <c r="U285" s="40"/>
      <c r="V285" s="41"/>
      <c r="AI285" s="40"/>
    </row>
    <row r="286" spans="20:35" ht="15.75" customHeight="1" x14ac:dyDescent="0.25">
      <c r="T286" s="40"/>
      <c r="U286" s="40"/>
      <c r="V286" s="41"/>
      <c r="AI286" s="40"/>
    </row>
    <row r="287" spans="20:35" ht="15.75" customHeight="1" x14ac:dyDescent="0.25">
      <c r="T287" s="40"/>
      <c r="U287" s="40"/>
      <c r="V287" s="41"/>
      <c r="AI287" s="40"/>
    </row>
    <row r="288" spans="20:35" ht="15.75" customHeight="1" x14ac:dyDescent="0.25">
      <c r="T288" s="40"/>
      <c r="U288" s="40"/>
      <c r="V288" s="41"/>
      <c r="AI288" s="40"/>
    </row>
    <row r="289" spans="20:35" ht="15.75" customHeight="1" x14ac:dyDescent="0.25">
      <c r="T289" s="40"/>
      <c r="U289" s="40"/>
      <c r="V289" s="41"/>
      <c r="AI289" s="40"/>
    </row>
    <row r="290" spans="20:35" ht="15.75" customHeight="1" x14ac:dyDescent="0.25">
      <c r="T290" s="40"/>
      <c r="U290" s="40"/>
      <c r="V290" s="41"/>
      <c r="AI290" s="40"/>
    </row>
    <row r="291" spans="20:35" ht="15.75" customHeight="1" x14ac:dyDescent="0.25">
      <c r="T291" s="40"/>
      <c r="U291" s="40"/>
      <c r="V291" s="41"/>
      <c r="AI291" s="40"/>
    </row>
    <row r="292" spans="20:35" ht="15.75" customHeight="1" x14ac:dyDescent="0.25">
      <c r="T292" s="40"/>
      <c r="U292" s="40"/>
      <c r="V292" s="41"/>
      <c r="AI292" s="40"/>
    </row>
    <row r="293" spans="20:35" ht="15.75" customHeight="1" x14ac:dyDescent="0.25">
      <c r="T293" s="40"/>
      <c r="U293" s="40"/>
      <c r="V293" s="41"/>
      <c r="AI293" s="40"/>
    </row>
    <row r="294" spans="20:35" ht="15.75" customHeight="1" x14ac:dyDescent="0.25">
      <c r="T294" s="40"/>
      <c r="U294" s="40"/>
      <c r="V294" s="41"/>
      <c r="AI294" s="40"/>
    </row>
    <row r="295" spans="20:35" ht="15.75" customHeight="1" x14ac:dyDescent="0.25">
      <c r="T295" s="40"/>
      <c r="U295" s="40"/>
      <c r="V295" s="41"/>
      <c r="AI295" s="40"/>
    </row>
    <row r="296" spans="20:35" ht="15.75" customHeight="1" x14ac:dyDescent="0.25">
      <c r="T296" s="40"/>
      <c r="U296" s="40"/>
      <c r="V296" s="41"/>
      <c r="AI296" s="40"/>
    </row>
    <row r="297" spans="20:35" ht="15.75" customHeight="1" x14ac:dyDescent="0.25">
      <c r="T297" s="40"/>
      <c r="U297" s="40"/>
      <c r="V297" s="41"/>
      <c r="AI297" s="40"/>
    </row>
    <row r="298" spans="20:35" ht="15.75" customHeight="1" x14ac:dyDescent="0.25">
      <c r="T298" s="40"/>
      <c r="U298" s="40"/>
      <c r="V298" s="41"/>
      <c r="AI298" s="40"/>
    </row>
    <row r="299" spans="20:35" ht="15.75" customHeight="1" x14ac:dyDescent="0.25">
      <c r="T299" s="40"/>
      <c r="U299" s="40"/>
      <c r="V299" s="41"/>
      <c r="AI299" s="40"/>
    </row>
    <row r="300" spans="20:35" ht="15.75" customHeight="1" x14ac:dyDescent="0.25">
      <c r="T300" s="40"/>
      <c r="U300" s="40"/>
      <c r="V300" s="41"/>
      <c r="AI300" s="40"/>
    </row>
    <row r="301" spans="20:35" ht="15.75" customHeight="1" x14ac:dyDescent="0.25">
      <c r="T301" s="40"/>
      <c r="U301" s="40"/>
      <c r="V301" s="41"/>
      <c r="AI301" s="40"/>
    </row>
    <row r="302" spans="20:35" ht="15.75" customHeight="1" x14ac:dyDescent="0.25">
      <c r="T302" s="40"/>
      <c r="U302" s="40"/>
      <c r="V302" s="41"/>
      <c r="AI302" s="40"/>
    </row>
    <row r="303" spans="20:35" ht="15.75" customHeight="1" x14ac:dyDescent="0.25">
      <c r="T303" s="40"/>
      <c r="U303" s="40"/>
      <c r="V303" s="41"/>
      <c r="AI303" s="40"/>
    </row>
    <row r="304" spans="20:35" ht="15.75" customHeight="1" x14ac:dyDescent="0.25">
      <c r="T304" s="40"/>
      <c r="U304" s="40"/>
      <c r="V304" s="41"/>
      <c r="AI304" s="40"/>
    </row>
    <row r="305" spans="20:35" ht="15.75" customHeight="1" x14ac:dyDescent="0.25">
      <c r="T305" s="40"/>
      <c r="U305" s="40"/>
      <c r="V305" s="41"/>
      <c r="AI305" s="40"/>
    </row>
    <row r="306" spans="20:35" ht="15.75" customHeight="1" x14ac:dyDescent="0.25">
      <c r="T306" s="40"/>
      <c r="U306" s="40"/>
      <c r="V306" s="41"/>
      <c r="AI306" s="40"/>
    </row>
    <row r="307" spans="20:35" ht="15.75" customHeight="1" x14ac:dyDescent="0.25">
      <c r="T307" s="40"/>
      <c r="U307" s="40"/>
      <c r="V307" s="41"/>
      <c r="AI307" s="40"/>
    </row>
    <row r="308" spans="20:35" ht="15.75" customHeight="1" x14ac:dyDescent="0.25">
      <c r="T308" s="40"/>
      <c r="U308" s="40"/>
      <c r="V308" s="41"/>
      <c r="AI308" s="40"/>
    </row>
    <row r="309" spans="20:35" ht="15.75" customHeight="1" x14ac:dyDescent="0.25">
      <c r="T309" s="40"/>
      <c r="U309" s="40"/>
      <c r="V309" s="41"/>
      <c r="AI309" s="40"/>
    </row>
    <row r="310" spans="20:35" ht="15.75" customHeight="1" x14ac:dyDescent="0.25">
      <c r="T310" s="40"/>
      <c r="U310" s="40"/>
      <c r="V310" s="41"/>
      <c r="AI310" s="40"/>
    </row>
    <row r="311" spans="20:35" ht="15.75" customHeight="1" x14ac:dyDescent="0.25">
      <c r="T311" s="40"/>
      <c r="U311" s="40"/>
      <c r="V311" s="41"/>
      <c r="AI311" s="40"/>
    </row>
    <row r="312" spans="20:35" ht="15.75" customHeight="1" x14ac:dyDescent="0.25">
      <c r="T312" s="40"/>
      <c r="U312" s="40"/>
      <c r="V312" s="41"/>
      <c r="AI312" s="40"/>
    </row>
    <row r="313" spans="20:35" ht="15.75" customHeight="1" x14ac:dyDescent="0.25">
      <c r="T313" s="40"/>
      <c r="U313" s="40"/>
      <c r="V313" s="41"/>
      <c r="AI313" s="40"/>
    </row>
    <row r="314" spans="20:35" ht="15.75" customHeight="1" x14ac:dyDescent="0.25">
      <c r="T314" s="40"/>
      <c r="U314" s="40"/>
      <c r="V314" s="41"/>
      <c r="AI314" s="40"/>
    </row>
    <row r="315" spans="20:35" ht="15.75" customHeight="1" x14ac:dyDescent="0.25">
      <c r="T315" s="40"/>
      <c r="U315" s="40"/>
      <c r="V315" s="41"/>
      <c r="AI315" s="40"/>
    </row>
    <row r="316" spans="20:35" ht="15.75" customHeight="1" x14ac:dyDescent="0.25">
      <c r="T316" s="40"/>
      <c r="U316" s="40"/>
      <c r="V316" s="41"/>
      <c r="AI316" s="40"/>
    </row>
    <row r="317" spans="20:35" ht="15.75" customHeight="1" x14ac:dyDescent="0.25">
      <c r="T317" s="40"/>
      <c r="U317" s="40"/>
      <c r="V317" s="41"/>
      <c r="AI317" s="40"/>
    </row>
    <row r="318" spans="20:35" ht="15.75" customHeight="1" x14ac:dyDescent="0.25">
      <c r="T318" s="40"/>
      <c r="U318" s="40"/>
      <c r="V318" s="41"/>
      <c r="AI318" s="40"/>
    </row>
    <row r="319" spans="20:35" ht="15.75" customHeight="1" x14ac:dyDescent="0.25">
      <c r="T319" s="40"/>
      <c r="U319" s="40"/>
      <c r="V319" s="41"/>
      <c r="AI319" s="40"/>
    </row>
    <row r="320" spans="20:35" ht="15.75" customHeight="1" x14ac:dyDescent="0.25">
      <c r="T320" s="40"/>
      <c r="U320" s="40"/>
      <c r="V320" s="41"/>
      <c r="AI320" s="40"/>
    </row>
    <row r="321" spans="20:35" ht="15.75" customHeight="1" x14ac:dyDescent="0.25">
      <c r="T321" s="40"/>
      <c r="U321" s="40"/>
      <c r="V321" s="41"/>
      <c r="AI321" s="40"/>
    </row>
    <row r="322" spans="20:35" ht="15.75" customHeight="1" x14ac:dyDescent="0.25">
      <c r="T322" s="40"/>
      <c r="U322" s="40"/>
      <c r="V322" s="41"/>
      <c r="AI322" s="40"/>
    </row>
    <row r="323" spans="20:35" ht="15.75" customHeight="1" x14ac:dyDescent="0.25">
      <c r="T323" s="40"/>
      <c r="U323" s="40"/>
      <c r="V323" s="41"/>
      <c r="AI323" s="40"/>
    </row>
    <row r="324" spans="20:35" ht="15.75" customHeight="1" x14ac:dyDescent="0.25">
      <c r="T324" s="40"/>
      <c r="U324" s="40"/>
      <c r="V324" s="41"/>
      <c r="AI324" s="40"/>
    </row>
    <row r="325" spans="20:35" ht="15.75" customHeight="1" x14ac:dyDescent="0.25">
      <c r="T325" s="40"/>
      <c r="U325" s="40"/>
      <c r="V325" s="41"/>
      <c r="AI325" s="40"/>
    </row>
    <row r="326" spans="20:35" ht="15.75" customHeight="1" x14ac:dyDescent="0.25">
      <c r="T326" s="40"/>
      <c r="U326" s="40"/>
      <c r="V326" s="41"/>
      <c r="AI326" s="40"/>
    </row>
    <row r="327" spans="20:35" ht="15.75" customHeight="1" x14ac:dyDescent="0.25">
      <c r="T327" s="40"/>
      <c r="U327" s="40"/>
      <c r="V327" s="41"/>
      <c r="AI327" s="40"/>
    </row>
    <row r="328" spans="20:35" ht="15.75" customHeight="1" x14ac:dyDescent="0.25">
      <c r="T328" s="40"/>
      <c r="U328" s="40"/>
      <c r="V328" s="41"/>
      <c r="AI328" s="40"/>
    </row>
    <row r="329" spans="20:35" ht="15.75" customHeight="1" x14ac:dyDescent="0.25">
      <c r="T329" s="40"/>
      <c r="U329" s="40"/>
      <c r="V329" s="41"/>
      <c r="AI329" s="40"/>
    </row>
    <row r="330" spans="20:35" ht="15.75" customHeight="1" x14ac:dyDescent="0.25">
      <c r="T330" s="40"/>
      <c r="U330" s="40"/>
      <c r="V330" s="41"/>
      <c r="AI330" s="40"/>
    </row>
    <row r="331" spans="20:35" ht="15.75" customHeight="1" x14ac:dyDescent="0.25">
      <c r="T331" s="40"/>
      <c r="U331" s="40"/>
      <c r="V331" s="41"/>
      <c r="AI331" s="40"/>
    </row>
    <row r="332" spans="20:35" ht="15.75" customHeight="1" x14ac:dyDescent="0.25">
      <c r="T332" s="40"/>
      <c r="U332" s="40"/>
      <c r="V332" s="41"/>
      <c r="AI332" s="40"/>
    </row>
    <row r="333" spans="20:35" ht="15.75" customHeight="1" x14ac:dyDescent="0.25">
      <c r="T333" s="40"/>
      <c r="U333" s="40"/>
      <c r="V333" s="41"/>
      <c r="AI333" s="40"/>
    </row>
    <row r="334" spans="20:35" ht="15.75" customHeight="1" x14ac:dyDescent="0.25">
      <c r="T334" s="40"/>
      <c r="U334" s="40"/>
      <c r="V334" s="41"/>
      <c r="AI334" s="40"/>
    </row>
    <row r="335" spans="20:35" ht="15.75" customHeight="1" x14ac:dyDescent="0.25">
      <c r="T335" s="40"/>
      <c r="U335" s="40"/>
      <c r="V335" s="41"/>
      <c r="AI335" s="40"/>
    </row>
    <row r="336" spans="20:35" ht="15.75" customHeight="1" x14ac:dyDescent="0.25">
      <c r="T336" s="40"/>
      <c r="U336" s="40"/>
      <c r="V336" s="41"/>
      <c r="AI336" s="40"/>
    </row>
    <row r="337" spans="20:35" ht="15.75" customHeight="1" x14ac:dyDescent="0.25">
      <c r="T337" s="40"/>
      <c r="U337" s="40"/>
      <c r="V337" s="41"/>
      <c r="AI337" s="40"/>
    </row>
    <row r="338" spans="20:35" ht="15.75" customHeight="1" x14ac:dyDescent="0.25">
      <c r="T338" s="40"/>
      <c r="U338" s="40"/>
      <c r="V338" s="41"/>
      <c r="AI338" s="40"/>
    </row>
    <row r="339" spans="20:35" ht="15.75" customHeight="1" x14ac:dyDescent="0.25">
      <c r="T339" s="40"/>
      <c r="U339" s="40"/>
      <c r="V339" s="41"/>
      <c r="AI339" s="40"/>
    </row>
    <row r="340" spans="20:35" ht="15.75" customHeight="1" x14ac:dyDescent="0.25">
      <c r="T340" s="40"/>
      <c r="U340" s="40"/>
      <c r="V340" s="41"/>
      <c r="AI340" s="40"/>
    </row>
    <row r="341" spans="20:35" ht="15.75" customHeight="1" x14ac:dyDescent="0.25">
      <c r="T341" s="40"/>
      <c r="U341" s="40"/>
      <c r="V341" s="41"/>
      <c r="AI341" s="40"/>
    </row>
    <row r="342" spans="20:35" ht="15.75" customHeight="1" x14ac:dyDescent="0.25">
      <c r="T342" s="40"/>
      <c r="U342" s="40"/>
      <c r="V342" s="41"/>
      <c r="AI342" s="40"/>
    </row>
    <row r="343" spans="20:35" ht="15.75" customHeight="1" x14ac:dyDescent="0.25">
      <c r="T343" s="40"/>
      <c r="U343" s="40"/>
      <c r="V343" s="41"/>
      <c r="AI343" s="40"/>
    </row>
    <row r="344" spans="20:35" ht="15.75" customHeight="1" x14ac:dyDescent="0.25">
      <c r="T344" s="40"/>
      <c r="U344" s="40"/>
      <c r="V344" s="41"/>
      <c r="AI344" s="40"/>
    </row>
    <row r="345" spans="20:35" ht="15.75" customHeight="1" x14ac:dyDescent="0.25">
      <c r="T345" s="40"/>
      <c r="U345" s="40"/>
      <c r="V345" s="41"/>
      <c r="AI345" s="40"/>
    </row>
    <row r="346" spans="20:35" ht="15.75" customHeight="1" x14ac:dyDescent="0.25">
      <c r="T346" s="40"/>
      <c r="U346" s="40"/>
      <c r="V346" s="41"/>
      <c r="AI346" s="40"/>
    </row>
    <row r="347" spans="20:35" ht="15.75" customHeight="1" x14ac:dyDescent="0.25">
      <c r="T347" s="40"/>
      <c r="U347" s="40"/>
      <c r="V347" s="41"/>
      <c r="AI347" s="40"/>
    </row>
    <row r="348" spans="20:35" ht="15.75" customHeight="1" x14ac:dyDescent="0.25">
      <c r="T348" s="40"/>
      <c r="U348" s="40"/>
      <c r="V348" s="41"/>
      <c r="AI348" s="40"/>
    </row>
    <row r="349" spans="20:35" ht="15.75" customHeight="1" x14ac:dyDescent="0.25">
      <c r="T349" s="40"/>
      <c r="U349" s="40"/>
      <c r="V349" s="41"/>
      <c r="AI349" s="40"/>
    </row>
    <row r="350" spans="20:35" ht="15.75" customHeight="1" x14ac:dyDescent="0.25">
      <c r="T350" s="40"/>
      <c r="U350" s="40"/>
      <c r="V350" s="41"/>
      <c r="AI350" s="40"/>
    </row>
    <row r="351" spans="20:35" ht="15.75" customHeight="1" x14ac:dyDescent="0.25">
      <c r="T351" s="40"/>
      <c r="U351" s="40"/>
      <c r="V351" s="41"/>
      <c r="AI351" s="40"/>
    </row>
    <row r="352" spans="20:35" ht="15.75" customHeight="1" x14ac:dyDescent="0.25">
      <c r="T352" s="40"/>
      <c r="U352" s="40"/>
      <c r="V352" s="41"/>
      <c r="AI352" s="40"/>
    </row>
    <row r="353" spans="20:35" ht="15.75" customHeight="1" x14ac:dyDescent="0.25">
      <c r="T353" s="40"/>
      <c r="U353" s="40"/>
      <c r="V353" s="41"/>
      <c r="AI353" s="40"/>
    </row>
    <row r="354" spans="20:35" ht="15.75" customHeight="1" x14ac:dyDescent="0.25">
      <c r="T354" s="40"/>
      <c r="U354" s="40"/>
      <c r="V354" s="41"/>
      <c r="AI354" s="40"/>
    </row>
    <row r="355" spans="20:35" ht="15.75" customHeight="1" x14ac:dyDescent="0.25">
      <c r="T355" s="40"/>
      <c r="U355" s="40"/>
      <c r="V355" s="41"/>
      <c r="AI355" s="40"/>
    </row>
    <row r="356" spans="20:35" ht="15.75" customHeight="1" x14ac:dyDescent="0.25">
      <c r="T356" s="40"/>
      <c r="U356" s="40"/>
      <c r="V356" s="41"/>
      <c r="AI356" s="40"/>
    </row>
    <row r="357" spans="20:35" ht="15.75" customHeight="1" x14ac:dyDescent="0.25">
      <c r="T357" s="40"/>
      <c r="U357" s="40"/>
      <c r="V357" s="41"/>
      <c r="AI357" s="40"/>
    </row>
    <row r="358" spans="20:35" ht="15.75" customHeight="1" x14ac:dyDescent="0.25">
      <c r="T358" s="40"/>
      <c r="U358" s="40"/>
      <c r="V358" s="41"/>
      <c r="AI358" s="40"/>
    </row>
    <row r="359" spans="20:35" ht="15.75" customHeight="1" x14ac:dyDescent="0.25">
      <c r="T359" s="40"/>
      <c r="U359" s="40"/>
      <c r="V359" s="41"/>
      <c r="AI359" s="40"/>
    </row>
    <row r="360" spans="20:35" ht="15.75" customHeight="1" x14ac:dyDescent="0.25">
      <c r="T360" s="40"/>
      <c r="U360" s="40"/>
      <c r="V360" s="41"/>
      <c r="AI360" s="40"/>
    </row>
    <row r="361" spans="20:35" ht="15.75" customHeight="1" x14ac:dyDescent="0.25">
      <c r="T361" s="40"/>
      <c r="U361" s="40"/>
      <c r="V361" s="41"/>
      <c r="AI361" s="40"/>
    </row>
    <row r="362" spans="20:35" ht="15.75" customHeight="1" x14ac:dyDescent="0.25">
      <c r="T362" s="40"/>
      <c r="U362" s="40"/>
      <c r="V362" s="41"/>
      <c r="AI362" s="40"/>
    </row>
    <row r="363" spans="20:35" ht="15.75" customHeight="1" x14ac:dyDescent="0.25">
      <c r="T363" s="40"/>
      <c r="U363" s="40"/>
      <c r="V363" s="41"/>
      <c r="AI363" s="40"/>
    </row>
    <row r="364" spans="20:35" ht="15.75" customHeight="1" x14ac:dyDescent="0.25">
      <c r="T364" s="40"/>
      <c r="U364" s="40"/>
      <c r="V364" s="41"/>
      <c r="AI364" s="40"/>
    </row>
    <row r="365" spans="20:35" ht="15.75" customHeight="1" x14ac:dyDescent="0.25">
      <c r="T365" s="40"/>
      <c r="U365" s="40"/>
      <c r="V365" s="41"/>
      <c r="AI365" s="40"/>
    </row>
    <row r="366" spans="20:35" ht="15.75" customHeight="1" x14ac:dyDescent="0.25">
      <c r="T366" s="40"/>
      <c r="U366" s="40"/>
      <c r="V366" s="41"/>
      <c r="AI366" s="40"/>
    </row>
    <row r="367" spans="20:35" ht="15.75" customHeight="1" x14ac:dyDescent="0.25">
      <c r="T367" s="40"/>
      <c r="U367" s="40"/>
      <c r="V367" s="41"/>
      <c r="AI367" s="40"/>
    </row>
    <row r="368" spans="20:35" ht="15.75" customHeight="1" x14ac:dyDescent="0.25">
      <c r="T368" s="40"/>
      <c r="U368" s="40"/>
      <c r="V368" s="41"/>
      <c r="AI368" s="40"/>
    </row>
    <row r="369" spans="20:35" ht="15.75" customHeight="1" x14ac:dyDescent="0.25">
      <c r="T369" s="40"/>
      <c r="U369" s="40"/>
      <c r="V369" s="41"/>
      <c r="AI369" s="40"/>
    </row>
    <row r="370" spans="20:35" ht="15.75" customHeight="1" x14ac:dyDescent="0.25">
      <c r="T370" s="40"/>
      <c r="U370" s="40"/>
      <c r="V370" s="41"/>
      <c r="AI370" s="40"/>
    </row>
    <row r="371" spans="20:35" ht="15.75" customHeight="1" x14ac:dyDescent="0.25">
      <c r="T371" s="40"/>
      <c r="U371" s="40"/>
      <c r="V371" s="41"/>
      <c r="AI371" s="40"/>
    </row>
    <row r="372" spans="20:35" ht="15.75" customHeight="1" x14ac:dyDescent="0.25">
      <c r="T372" s="40"/>
      <c r="U372" s="40"/>
      <c r="V372" s="41"/>
      <c r="AI372" s="40"/>
    </row>
    <row r="373" spans="20:35" ht="15.75" customHeight="1" x14ac:dyDescent="0.25">
      <c r="T373" s="40"/>
      <c r="U373" s="40"/>
      <c r="V373" s="41"/>
      <c r="AI373" s="40"/>
    </row>
    <row r="374" spans="20:35" ht="15.75" customHeight="1" x14ac:dyDescent="0.25">
      <c r="T374" s="40"/>
      <c r="U374" s="40"/>
      <c r="V374" s="41"/>
      <c r="AI374" s="40"/>
    </row>
    <row r="375" spans="20:35" ht="15.75" customHeight="1" x14ac:dyDescent="0.25">
      <c r="T375" s="40"/>
      <c r="U375" s="40"/>
      <c r="V375" s="41"/>
      <c r="AI375" s="40"/>
    </row>
    <row r="376" spans="20:35" ht="15.75" customHeight="1" x14ac:dyDescent="0.25">
      <c r="T376" s="40"/>
      <c r="U376" s="40"/>
      <c r="V376" s="41"/>
      <c r="AI376" s="40"/>
    </row>
    <row r="377" spans="20:35" ht="15.75" customHeight="1" x14ac:dyDescent="0.25">
      <c r="T377" s="40"/>
      <c r="U377" s="40"/>
      <c r="V377" s="41"/>
      <c r="AI377" s="40"/>
    </row>
    <row r="378" spans="20:35" ht="15.75" customHeight="1" x14ac:dyDescent="0.25">
      <c r="T378" s="40"/>
      <c r="U378" s="40"/>
      <c r="V378" s="41"/>
      <c r="AI378" s="40"/>
    </row>
    <row r="379" spans="20:35" ht="15.75" customHeight="1" x14ac:dyDescent="0.25">
      <c r="T379" s="40"/>
      <c r="U379" s="40"/>
      <c r="V379" s="41"/>
      <c r="AI379" s="40"/>
    </row>
    <row r="380" spans="20:35" ht="15.75" customHeight="1" x14ac:dyDescent="0.25">
      <c r="T380" s="40"/>
      <c r="U380" s="40"/>
      <c r="V380" s="41"/>
      <c r="AI380" s="40"/>
    </row>
    <row r="381" spans="20:35" ht="15.75" customHeight="1" x14ac:dyDescent="0.25">
      <c r="T381" s="40"/>
      <c r="U381" s="40"/>
      <c r="V381" s="41"/>
      <c r="AI381" s="40"/>
    </row>
    <row r="382" spans="20:35" ht="15.75" customHeight="1" x14ac:dyDescent="0.25">
      <c r="T382" s="40"/>
      <c r="U382" s="40"/>
      <c r="V382" s="41"/>
      <c r="AI382" s="40"/>
    </row>
    <row r="383" spans="20:35" ht="15.75" customHeight="1" x14ac:dyDescent="0.25">
      <c r="T383" s="40"/>
      <c r="U383" s="40"/>
      <c r="V383" s="41"/>
      <c r="AI383" s="40"/>
    </row>
    <row r="384" spans="20:35" ht="15.75" customHeight="1" x14ac:dyDescent="0.25">
      <c r="T384" s="40"/>
      <c r="U384" s="40"/>
      <c r="V384" s="41"/>
      <c r="AI384" s="40"/>
    </row>
    <row r="385" spans="20:35" ht="15.75" customHeight="1" x14ac:dyDescent="0.25">
      <c r="T385" s="40"/>
      <c r="U385" s="40"/>
      <c r="V385" s="41"/>
      <c r="AI385" s="40"/>
    </row>
    <row r="386" spans="20:35" ht="15.75" customHeight="1" x14ac:dyDescent="0.25">
      <c r="T386" s="40"/>
      <c r="U386" s="40"/>
      <c r="V386" s="41"/>
      <c r="AI386" s="40"/>
    </row>
    <row r="387" spans="20:35" ht="15.75" customHeight="1" x14ac:dyDescent="0.25">
      <c r="T387" s="40"/>
      <c r="U387" s="40"/>
      <c r="V387" s="41"/>
      <c r="AI387" s="40"/>
    </row>
    <row r="388" spans="20:35" ht="15.75" customHeight="1" x14ac:dyDescent="0.25">
      <c r="T388" s="40"/>
      <c r="U388" s="40"/>
      <c r="V388" s="41"/>
      <c r="AI388" s="40"/>
    </row>
    <row r="389" spans="20:35" ht="15.75" customHeight="1" x14ac:dyDescent="0.25">
      <c r="T389" s="40"/>
      <c r="U389" s="40"/>
      <c r="V389" s="41"/>
      <c r="AI389" s="40"/>
    </row>
    <row r="390" spans="20:35" ht="15.75" customHeight="1" x14ac:dyDescent="0.25">
      <c r="T390" s="40"/>
      <c r="U390" s="40"/>
      <c r="V390" s="41"/>
      <c r="AI390" s="40"/>
    </row>
    <row r="391" spans="20:35" ht="15.75" customHeight="1" x14ac:dyDescent="0.25">
      <c r="T391" s="40"/>
      <c r="U391" s="40"/>
      <c r="V391" s="41"/>
      <c r="AI391" s="40"/>
    </row>
    <row r="392" spans="20:35" ht="15.75" customHeight="1" x14ac:dyDescent="0.25">
      <c r="T392" s="40"/>
      <c r="U392" s="40"/>
      <c r="V392" s="41"/>
      <c r="AI392" s="40"/>
    </row>
    <row r="393" spans="20:35" ht="15.75" customHeight="1" x14ac:dyDescent="0.25">
      <c r="T393" s="40"/>
      <c r="U393" s="40"/>
      <c r="V393" s="41"/>
      <c r="AI393" s="40"/>
    </row>
    <row r="394" spans="20:35" ht="15.75" customHeight="1" x14ac:dyDescent="0.25">
      <c r="T394" s="40"/>
      <c r="U394" s="40"/>
      <c r="V394" s="41"/>
      <c r="AI394" s="40"/>
    </row>
    <row r="395" spans="20:35" ht="15.75" customHeight="1" x14ac:dyDescent="0.25">
      <c r="T395" s="40"/>
      <c r="U395" s="40"/>
      <c r="V395" s="41"/>
      <c r="AI395" s="40"/>
    </row>
    <row r="396" spans="20:35" ht="15.75" customHeight="1" x14ac:dyDescent="0.25">
      <c r="T396" s="40"/>
      <c r="U396" s="40"/>
      <c r="V396" s="41"/>
      <c r="AI396" s="40"/>
    </row>
    <row r="397" spans="20:35" ht="15.75" customHeight="1" x14ac:dyDescent="0.25">
      <c r="T397" s="40"/>
      <c r="U397" s="40"/>
      <c r="V397" s="41"/>
      <c r="AI397" s="40"/>
    </row>
    <row r="398" spans="20:35" ht="15.75" customHeight="1" x14ac:dyDescent="0.25">
      <c r="T398" s="40"/>
      <c r="U398" s="40"/>
      <c r="V398" s="41"/>
      <c r="AI398" s="40"/>
    </row>
    <row r="399" spans="20:35" ht="15.75" customHeight="1" x14ac:dyDescent="0.25">
      <c r="T399" s="40"/>
      <c r="U399" s="40"/>
      <c r="V399" s="41"/>
      <c r="AI399" s="40"/>
    </row>
    <row r="400" spans="20:35" ht="15.75" customHeight="1" x14ac:dyDescent="0.25">
      <c r="T400" s="40"/>
      <c r="U400" s="40"/>
      <c r="V400" s="41"/>
      <c r="AI400" s="40"/>
    </row>
    <row r="401" spans="20:35" ht="15.75" customHeight="1" x14ac:dyDescent="0.25">
      <c r="T401" s="40"/>
      <c r="U401" s="40"/>
      <c r="V401" s="41"/>
      <c r="AI401" s="40"/>
    </row>
    <row r="402" spans="20:35" ht="15.75" customHeight="1" x14ac:dyDescent="0.25">
      <c r="T402" s="40"/>
      <c r="U402" s="40"/>
      <c r="V402" s="41"/>
      <c r="AI402" s="40"/>
    </row>
    <row r="403" spans="20:35" ht="15.75" customHeight="1" x14ac:dyDescent="0.25">
      <c r="T403" s="40"/>
      <c r="U403" s="40"/>
      <c r="V403" s="41"/>
      <c r="AI403" s="40"/>
    </row>
    <row r="404" spans="20:35" ht="15.75" customHeight="1" x14ac:dyDescent="0.25">
      <c r="T404" s="40"/>
      <c r="U404" s="40"/>
      <c r="V404" s="41"/>
      <c r="AI404" s="40"/>
    </row>
    <row r="405" spans="20:35" ht="15.75" customHeight="1" x14ac:dyDescent="0.25">
      <c r="T405" s="40"/>
      <c r="U405" s="40"/>
      <c r="V405" s="41"/>
      <c r="AI405" s="40"/>
    </row>
    <row r="406" spans="20:35" ht="15.75" customHeight="1" x14ac:dyDescent="0.25">
      <c r="T406" s="40"/>
      <c r="U406" s="40"/>
      <c r="V406" s="41"/>
      <c r="AI406" s="40"/>
    </row>
    <row r="407" spans="20:35" ht="15.75" customHeight="1" x14ac:dyDescent="0.25">
      <c r="T407" s="40"/>
      <c r="U407" s="40"/>
      <c r="V407" s="41"/>
      <c r="AI407" s="40"/>
    </row>
    <row r="408" spans="20:35" ht="15.75" customHeight="1" x14ac:dyDescent="0.25">
      <c r="T408" s="40"/>
      <c r="U408" s="40"/>
      <c r="V408" s="41"/>
      <c r="AI408" s="40"/>
    </row>
    <row r="409" spans="20:35" ht="15.75" customHeight="1" x14ac:dyDescent="0.25">
      <c r="T409" s="40"/>
      <c r="U409" s="40"/>
      <c r="V409" s="41"/>
      <c r="AI409" s="40"/>
    </row>
    <row r="410" spans="20:35" ht="15.75" customHeight="1" x14ac:dyDescent="0.25">
      <c r="T410" s="40"/>
      <c r="U410" s="40"/>
      <c r="V410" s="41"/>
      <c r="AI410" s="40"/>
    </row>
    <row r="411" spans="20:35" ht="15.75" customHeight="1" x14ac:dyDescent="0.25">
      <c r="T411" s="40"/>
      <c r="U411" s="40"/>
      <c r="V411" s="41"/>
      <c r="AI411" s="40"/>
    </row>
    <row r="412" spans="20:35" ht="15.75" customHeight="1" x14ac:dyDescent="0.25">
      <c r="T412" s="40"/>
      <c r="U412" s="40"/>
      <c r="V412" s="41"/>
      <c r="AI412" s="40"/>
    </row>
    <row r="413" spans="20:35" ht="15.75" customHeight="1" x14ac:dyDescent="0.25">
      <c r="T413" s="40"/>
      <c r="U413" s="40"/>
      <c r="V413" s="41"/>
      <c r="AI413" s="40"/>
    </row>
    <row r="414" spans="20:35" ht="15.75" customHeight="1" x14ac:dyDescent="0.25">
      <c r="T414" s="40"/>
      <c r="U414" s="40"/>
      <c r="V414" s="41"/>
      <c r="AI414" s="40"/>
    </row>
    <row r="415" spans="20:35" ht="15.75" customHeight="1" x14ac:dyDescent="0.25">
      <c r="T415" s="40"/>
      <c r="U415" s="40"/>
      <c r="V415" s="41"/>
      <c r="AI415" s="40"/>
    </row>
    <row r="416" spans="20:35" ht="15.75" customHeight="1" x14ac:dyDescent="0.25">
      <c r="T416" s="40"/>
      <c r="U416" s="40"/>
      <c r="V416" s="41"/>
      <c r="AI416" s="40"/>
    </row>
    <row r="417" spans="20:35" ht="15.75" customHeight="1" x14ac:dyDescent="0.25">
      <c r="T417" s="40"/>
      <c r="U417" s="40"/>
      <c r="V417" s="41"/>
      <c r="AI417" s="40"/>
    </row>
    <row r="418" spans="20:35" ht="15.75" customHeight="1" x14ac:dyDescent="0.25">
      <c r="T418" s="40"/>
      <c r="U418" s="40"/>
      <c r="V418" s="41"/>
      <c r="AI418" s="40"/>
    </row>
    <row r="419" spans="20:35" ht="15.75" customHeight="1" x14ac:dyDescent="0.25">
      <c r="T419" s="40"/>
      <c r="U419" s="40"/>
      <c r="V419" s="41"/>
      <c r="AI419" s="40"/>
    </row>
    <row r="420" spans="20:35" ht="15.75" customHeight="1" x14ac:dyDescent="0.25">
      <c r="T420" s="40"/>
      <c r="U420" s="40"/>
      <c r="V420" s="41"/>
      <c r="AI420" s="40"/>
    </row>
    <row r="421" spans="20:35" ht="15.75" customHeight="1" x14ac:dyDescent="0.25">
      <c r="T421" s="40"/>
      <c r="U421" s="40"/>
      <c r="V421" s="41"/>
      <c r="AI421" s="40"/>
    </row>
    <row r="422" spans="20:35" ht="15.75" customHeight="1" x14ac:dyDescent="0.25">
      <c r="T422" s="40"/>
      <c r="U422" s="40"/>
      <c r="V422" s="41"/>
      <c r="AI422" s="40"/>
    </row>
    <row r="423" spans="20:35" ht="15.75" customHeight="1" x14ac:dyDescent="0.25">
      <c r="T423" s="40"/>
      <c r="U423" s="40"/>
      <c r="V423" s="41"/>
      <c r="AI423" s="40"/>
    </row>
    <row r="424" spans="20:35" ht="15.75" customHeight="1" x14ac:dyDescent="0.25">
      <c r="T424" s="40"/>
      <c r="U424" s="40"/>
      <c r="V424" s="41"/>
      <c r="AI424" s="40"/>
    </row>
    <row r="425" spans="20:35" ht="15.75" customHeight="1" x14ac:dyDescent="0.25">
      <c r="T425" s="40"/>
      <c r="U425" s="40"/>
      <c r="V425" s="41"/>
      <c r="AI425" s="40"/>
    </row>
    <row r="426" spans="20:35" ht="15.75" customHeight="1" x14ac:dyDescent="0.25">
      <c r="T426" s="40"/>
      <c r="U426" s="40"/>
      <c r="V426" s="41"/>
      <c r="AI426" s="40"/>
    </row>
    <row r="427" spans="20:35" ht="15.75" customHeight="1" x14ac:dyDescent="0.25">
      <c r="T427" s="40"/>
      <c r="U427" s="40"/>
      <c r="V427" s="41"/>
      <c r="AI427" s="40"/>
    </row>
    <row r="428" spans="20:35" ht="15.75" customHeight="1" x14ac:dyDescent="0.25">
      <c r="T428" s="40"/>
      <c r="U428" s="40"/>
      <c r="V428" s="41"/>
      <c r="AI428" s="40"/>
    </row>
    <row r="429" spans="20:35" ht="15.75" customHeight="1" x14ac:dyDescent="0.25">
      <c r="T429" s="40"/>
      <c r="U429" s="40"/>
      <c r="V429" s="41"/>
      <c r="AI429" s="40"/>
    </row>
    <row r="430" spans="20:35" ht="15.75" customHeight="1" x14ac:dyDescent="0.25">
      <c r="T430" s="40"/>
      <c r="U430" s="40"/>
      <c r="V430" s="41"/>
      <c r="AI430" s="40"/>
    </row>
    <row r="431" spans="20:35" ht="15.75" customHeight="1" x14ac:dyDescent="0.25">
      <c r="T431" s="40"/>
      <c r="U431" s="40"/>
      <c r="V431" s="41"/>
      <c r="AI431" s="40"/>
    </row>
    <row r="432" spans="20:35" ht="15.75" customHeight="1" x14ac:dyDescent="0.25">
      <c r="T432" s="40"/>
      <c r="U432" s="40"/>
      <c r="V432" s="41"/>
      <c r="AI432" s="40"/>
    </row>
    <row r="433" spans="20:35" ht="15.75" customHeight="1" x14ac:dyDescent="0.25">
      <c r="T433" s="40"/>
      <c r="U433" s="40"/>
      <c r="V433" s="41"/>
      <c r="AI433" s="40"/>
    </row>
    <row r="434" spans="20:35" ht="15.75" customHeight="1" x14ac:dyDescent="0.25">
      <c r="T434" s="40"/>
      <c r="U434" s="40"/>
      <c r="V434" s="41"/>
      <c r="AI434" s="40"/>
    </row>
    <row r="435" spans="20:35" ht="15.75" customHeight="1" x14ac:dyDescent="0.25">
      <c r="T435" s="40"/>
      <c r="U435" s="40"/>
      <c r="V435" s="41"/>
      <c r="AI435" s="40"/>
    </row>
    <row r="436" spans="20:35" ht="15.75" customHeight="1" x14ac:dyDescent="0.25">
      <c r="T436" s="40"/>
      <c r="U436" s="40"/>
      <c r="V436" s="41"/>
      <c r="AI436" s="40"/>
    </row>
    <row r="437" spans="20:35" ht="15.75" customHeight="1" x14ac:dyDescent="0.25">
      <c r="T437" s="40"/>
      <c r="U437" s="40"/>
      <c r="V437" s="41"/>
      <c r="AI437" s="40"/>
    </row>
    <row r="438" spans="20:35" ht="15.75" customHeight="1" x14ac:dyDescent="0.25">
      <c r="T438" s="40"/>
      <c r="U438" s="40"/>
      <c r="V438" s="41"/>
      <c r="AI438" s="40"/>
    </row>
    <row r="439" spans="20:35" ht="15.75" customHeight="1" x14ac:dyDescent="0.25">
      <c r="T439" s="40"/>
      <c r="U439" s="40"/>
      <c r="V439" s="41"/>
      <c r="AI439" s="40"/>
    </row>
    <row r="440" spans="20:35" ht="15.75" customHeight="1" x14ac:dyDescent="0.25">
      <c r="T440" s="40"/>
      <c r="U440" s="40"/>
      <c r="V440" s="41"/>
      <c r="AI440" s="40"/>
    </row>
    <row r="441" spans="20:35" ht="15.75" customHeight="1" x14ac:dyDescent="0.25">
      <c r="T441" s="40"/>
      <c r="U441" s="40"/>
      <c r="V441" s="41"/>
      <c r="AI441" s="40"/>
    </row>
    <row r="442" spans="20:35" ht="15.75" customHeight="1" x14ac:dyDescent="0.25">
      <c r="T442" s="40"/>
      <c r="U442" s="40"/>
      <c r="V442" s="41"/>
      <c r="AI442" s="40"/>
    </row>
    <row r="443" spans="20:35" ht="15.75" customHeight="1" x14ac:dyDescent="0.25">
      <c r="T443" s="40"/>
      <c r="U443" s="40"/>
      <c r="V443" s="41"/>
      <c r="AI443" s="40"/>
    </row>
    <row r="444" spans="20:35" ht="15.75" customHeight="1" x14ac:dyDescent="0.25">
      <c r="T444" s="40"/>
      <c r="U444" s="40"/>
      <c r="V444" s="41"/>
      <c r="AI444" s="40"/>
    </row>
    <row r="445" spans="20:35" ht="15.75" customHeight="1" x14ac:dyDescent="0.25">
      <c r="T445" s="40"/>
      <c r="U445" s="40"/>
      <c r="V445" s="41"/>
      <c r="AI445" s="40"/>
    </row>
    <row r="446" spans="20:35" ht="15.75" customHeight="1" x14ac:dyDescent="0.25">
      <c r="T446" s="40"/>
      <c r="U446" s="40"/>
      <c r="V446" s="41"/>
      <c r="AI446" s="40"/>
    </row>
    <row r="447" spans="20:35" ht="15.75" customHeight="1" x14ac:dyDescent="0.25">
      <c r="T447" s="40"/>
      <c r="U447" s="40"/>
      <c r="V447" s="41"/>
      <c r="AI447" s="40"/>
    </row>
    <row r="448" spans="20:35" ht="15.75" customHeight="1" x14ac:dyDescent="0.25">
      <c r="T448" s="40"/>
      <c r="U448" s="40"/>
      <c r="V448" s="41"/>
      <c r="AI448" s="40"/>
    </row>
    <row r="449" spans="20:35" ht="15.75" customHeight="1" x14ac:dyDescent="0.25">
      <c r="T449" s="40"/>
      <c r="U449" s="40"/>
      <c r="V449" s="41"/>
      <c r="AI449" s="40"/>
    </row>
    <row r="450" spans="20:35" ht="15.75" customHeight="1" x14ac:dyDescent="0.25">
      <c r="T450" s="40"/>
      <c r="U450" s="40"/>
      <c r="V450" s="41"/>
      <c r="AI450" s="40"/>
    </row>
    <row r="451" spans="20:35" ht="15.75" customHeight="1" x14ac:dyDescent="0.25">
      <c r="T451" s="40"/>
      <c r="U451" s="40"/>
      <c r="V451" s="41"/>
      <c r="AI451" s="40"/>
    </row>
    <row r="452" spans="20:35" ht="15.75" customHeight="1" x14ac:dyDescent="0.25">
      <c r="T452" s="40"/>
      <c r="U452" s="40"/>
      <c r="V452" s="41"/>
      <c r="AI452" s="40"/>
    </row>
    <row r="453" spans="20:35" ht="15.75" customHeight="1" x14ac:dyDescent="0.25">
      <c r="T453" s="40"/>
      <c r="U453" s="40"/>
      <c r="V453" s="41"/>
      <c r="AI453" s="40"/>
    </row>
    <row r="454" spans="20:35" ht="15.75" customHeight="1" x14ac:dyDescent="0.25">
      <c r="T454" s="40"/>
      <c r="U454" s="40"/>
      <c r="V454" s="41"/>
      <c r="AI454" s="40"/>
    </row>
    <row r="455" spans="20:35" ht="15.75" customHeight="1" x14ac:dyDescent="0.25">
      <c r="T455" s="40"/>
      <c r="U455" s="40"/>
      <c r="V455" s="41"/>
      <c r="AI455" s="40"/>
    </row>
    <row r="456" spans="20:35" ht="15.75" customHeight="1" x14ac:dyDescent="0.25">
      <c r="T456" s="40"/>
      <c r="U456" s="40"/>
      <c r="V456" s="41"/>
      <c r="AI456" s="40"/>
    </row>
    <row r="457" spans="20:35" ht="15.75" customHeight="1" x14ac:dyDescent="0.25">
      <c r="T457" s="40"/>
      <c r="U457" s="40"/>
      <c r="V457" s="41"/>
      <c r="AI457" s="40"/>
    </row>
    <row r="458" spans="20:35" ht="15.75" customHeight="1" x14ac:dyDescent="0.25">
      <c r="T458" s="40"/>
      <c r="U458" s="40"/>
      <c r="V458" s="41"/>
      <c r="AI458" s="40"/>
    </row>
    <row r="459" spans="20:35" ht="15.75" customHeight="1" x14ac:dyDescent="0.25">
      <c r="T459" s="40"/>
      <c r="U459" s="40"/>
      <c r="V459" s="41"/>
      <c r="AI459" s="40"/>
    </row>
    <row r="460" spans="20:35" ht="15.75" customHeight="1" x14ac:dyDescent="0.25">
      <c r="T460" s="40"/>
      <c r="U460" s="40"/>
      <c r="V460" s="41"/>
      <c r="AI460" s="40"/>
    </row>
    <row r="461" spans="20:35" ht="15.75" customHeight="1" x14ac:dyDescent="0.25">
      <c r="T461" s="40"/>
      <c r="U461" s="40"/>
      <c r="V461" s="41"/>
      <c r="AI461" s="40"/>
    </row>
    <row r="462" spans="20:35" ht="15.75" customHeight="1" x14ac:dyDescent="0.25">
      <c r="T462" s="40"/>
      <c r="U462" s="40"/>
      <c r="V462" s="41"/>
      <c r="AI462" s="40"/>
    </row>
    <row r="463" spans="20:35" ht="15.75" customHeight="1" x14ac:dyDescent="0.25">
      <c r="T463" s="40"/>
      <c r="U463" s="40"/>
      <c r="V463" s="41"/>
      <c r="AI463" s="40"/>
    </row>
    <row r="464" spans="20:35" ht="15.75" customHeight="1" x14ac:dyDescent="0.25">
      <c r="T464" s="40"/>
      <c r="U464" s="40"/>
      <c r="V464" s="41"/>
      <c r="AI464" s="40"/>
    </row>
    <row r="465" spans="20:35" ht="15.75" customHeight="1" x14ac:dyDescent="0.25">
      <c r="T465" s="40"/>
      <c r="U465" s="40"/>
      <c r="V465" s="41"/>
      <c r="AI465" s="40"/>
    </row>
    <row r="466" spans="20:35" ht="15.75" customHeight="1" x14ac:dyDescent="0.25">
      <c r="T466" s="40"/>
      <c r="U466" s="40"/>
      <c r="V466" s="41"/>
      <c r="AI466" s="40"/>
    </row>
    <row r="467" spans="20:35" ht="15.75" customHeight="1" x14ac:dyDescent="0.25">
      <c r="T467" s="40"/>
      <c r="U467" s="40"/>
      <c r="V467" s="41"/>
      <c r="AI467" s="40"/>
    </row>
    <row r="468" spans="20:35" ht="15.75" customHeight="1" x14ac:dyDescent="0.25">
      <c r="T468" s="40"/>
      <c r="U468" s="40"/>
      <c r="V468" s="41"/>
      <c r="AI468" s="40"/>
    </row>
    <row r="469" spans="20:35" ht="15.75" customHeight="1" x14ac:dyDescent="0.25">
      <c r="T469" s="40"/>
      <c r="U469" s="40"/>
      <c r="V469" s="41"/>
      <c r="AI469" s="40"/>
    </row>
    <row r="470" spans="20:35" ht="15.75" customHeight="1" x14ac:dyDescent="0.25">
      <c r="T470" s="40"/>
      <c r="U470" s="40"/>
      <c r="V470" s="41"/>
      <c r="AI470" s="40"/>
    </row>
    <row r="471" spans="20:35" ht="15.75" customHeight="1" x14ac:dyDescent="0.25">
      <c r="T471" s="40"/>
      <c r="U471" s="40"/>
      <c r="V471" s="41"/>
      <c r="AI471" s="40"/>
    </row>
    <row r="472" spans="20:35" ht="15.75" customHeight="1" x14ac:dyDescent="0.25">
      <c r="T472" s="40"/>
      <c r="U472" s="40"/>
      <c r="V472" s="41"/>
      <c r="AI472" s="40"/>
    </row>
    <row r="473" spans="20:35" ht="15.75" customHeight="1" x14ac:dyDescent="0.25">
      <c r="T473" s="40"/>
      <c r="U473" s="40"/>
      <c r="V473" s="41"/>
      <c r="AI473" s="40"/>
    </row>
    <row r="474" spans="20:35" ht="15.75" customHeight="1" x14ac:dyDescent="0.25">
      <c r="T474" s="40"/>
      <c r="U474" s="40"/>
      <c r="V474" s="41"/>
      <c r="AI474" s="40"/>
    </row>
    <row r="475" spans="20:35" ht="15.75" customHeight="1" x14ac:dyDescent="0.25">
      <c r="T475" s="40"/>
      <c r="U475" s="40"/>
      <c r="V475" s="41"/>
      <c r="AI475" s="40"/>
    </row>
    <row r="476" spans="20:35" ht="15.75" customHeight="1" x14ac:dyDescent="0.25">
      <c r="T476" s="40"/>
      <c r="U476" s="40"/>
      <c r="V476" s="41"/>
      <c r="AI476" s="40"/>
    </row>
    <row r="477" spans="20:35" ht="15.75" customHeight="1" x14ac:dyDescent="0.25">
      <c r="T477" s="40"/>
      <c r="U477" s="40"/>
      <c r="V477" s="41"/>
      <c r="AI477" s="40"/>
    </row>
    <row r="478" spans="20:35" ht="15.75" customHeight="1" x14ac:dyDescent="0.25">
      <c r="T478" s="40"/>
      <c r="U478" s="40"/>
      <c r="V478" s="41"/>
      <c r="AI478" s="40"/>
    </row>
    <row r="479" spans="20:35" ht="15.75" customHeight="1" x14ac:dyDescent="0.25">
      <c r="T479" s="40"/>
      <c r="U479" s="40"/>
      <c r="V479" s="41"/>
      <c r="AI479" s="40"/>
    </row>
    <row r="480" spans="20:35" ht="15.75" customHeight="1" x14ac:dyDescent="0.25">
      <c r="T480" s="40"/>
      <c r="U480" s="40"/>
      <c r="V480" s="41"/>
      <c r="AI480" s="40"/>
    </row>
    <row r="481" spans="20:35" ht="15.75" customHeight="1" x14ac:dyDescent="0.25">
      <c r="T481" s="40"/>
      <c r="U481" s="40"/>
      <c r="V481" s="41"/>
      <c r="AI481" s="40"/>
    </row>
    <row r="482" spans="20:35" ht="15.75" customHeight="1" x14ac:dyDescent="0.25">
      <c r="T482" s="40"/>
      <c r="U482" s="40"/>
      <c r="V482" s="41"/>
      <c r="AI482" s="40"/>
    </row>
    <row r="483" spans="20:35" ht="15.75" customHeight="1" x14ac:dyDescent="0.25">
      <c r="T483" s="40"/>
      <c r="U483" s="40"/>
      <c r="V483" s="41"/>
      <c r="AI483" s="40"/>
    </row>
    <row r="484" spans="20:35" ht="15.75" customHeight="1" x14ac:dyDescent="0.25">
      <c r="T484" s="40"/>
      <c r="U484" s="40"/>
      <c r="V484" s="41"/>
      <c r="AI484" s="40"/>
    </row>
    <row r="485" spans="20:35" ht="15.75" customHeight="1" x14ac:dyDescent="0.25">
      <c r="T485" s="40"/>
      <c r="U485" s="40"/>
      <c r="V485" s="41"/>
      <c r="AI485" s="40"/>
    </row>
    <row r="486" spans="20:35" ht="15.75" customHeight="1" x14ac:dyDescent="0.25">
      <c r="T486" s="40"/>
      <c r="U486" s="40"/>
      <c r="V486" s="41"/>
      <c r="AI486" s="40"/>
    </row>
    <row r="487" spans="20:35" ht="15.75" customHeight="1" x14ac:dyDescent="0.25">
      <c r="T487" s="40"/>
      <c r="U487" s="40"/>
      <c r="V487" s="41"/>
      <c r="AI487" s="40"/>
    </row>
    <row r="488" spans="20:35" ht="15.75" customHeight="1" x14ac:dyDescent="0.25">
      <c r="T488" s="40"/>
      <c r="U488" s="40"/>
      <c r="V488" s="41"/>
      <c r="AI488" s="40"/>
    </row>
    <row r="489" spans="20:35" ht="15.75" customHeight="1" x14ac:dyDescent="0.25">
      <c r="T489" s="40"/>
      <c r="U489" s="40"/>
      <c r="V489" s="41"/>
      <c r="AI489" s="40"/>
    </row>
    <row r="490" spans="20:35" ht="15.75" customHeight="1" x14ac:dyDescent="0.25">
      <c r="T490" s="40"/>
      <c r="U490" s="40"/>
      <c r="V490" s="41"/>
      <c r="AI490" s="40"/>
    </row>
    <row r="491" spans="20:35" ht="15.75" customHeight="1" x14ac:dyDescent="0.25">
      <c r="T491" s="40"/>
      <c r="U491" s="40"/>
      <c r="V491" s="41"/>
      <c r="AI491" s="40"/>
    </row>
    <row r="492" spans="20:35" ht="15.75" customHeight="1" x14ac:dyDescent="0.25">
      <c r="T492" s="40"/>
      <c r="U492" s="40"/>
      <c r="V492" s="41"/>
      <c r="AI492" s="40"/>
    </row>
    <row r="493" spans="20:35" ht="15.75" customHeight="1" x14ac:dyDescent="0.25">
      <c r="T493" s="40"/>
      <c r="U493" s="40"/>
      <c r="V493" s="41"/>
      <c r="AI493" s="40"/>
    </row>
    <row r="494" spans="20:35" ht="15.75" customHeight="1" x14ac:dyDescent="0.25">
      <c r="T494" s="40"/>
      <c r="U494" s="40"/>
      <c r="V494" s="41"/>
      <c r="AI494" s="40"/>
    </row>
    <row r="495" spans="20:35" ht="15.75" customHeight="1" x14ac:dyDescent="0.25">
      <c r="T495" s="40"/>
      <c r="U495" s="40"/>
      <c r="V495" s="41"/>
      <c r="AI495" s="40"/>
    </row>
    <row r="496" spans="20:35" ht="15.75" customHeight="1" x14ac:dyDescent="0.25">
      <c r="T496" s="40"/>
      <c r="U496" s="40"/>
      <c r="V496" s="41"/>
      <c r="AI496" s="40"/>
    </row>
    <row r="497" spans="20:35" ht="15.75" customHeight="1" x14ac:dyDescent="0.25">
      <c r="T497" s="40"/>
      <c r="U497" s="40"/>
      <c r="V497" s="41"/>
      <c r="AI497" s="40"/>
    </row>
    <row r="498" spans="20:35" ht="15.75" customHeight="1" x14ac:dyDescent="0.25">
      <c r="T498" s="40"/>
      <c r="U498" s="40"/>
      <c r="V498" s="41"/>
      <c r="AI498" s="40"/>
    </row>
    <row r="499" spans="20:35" ht="15.75" customHeight="1" x14ac:dyDescent="0.25">
      <c r="T499" s="40"/>
      <c r="U499" s="40"/>
      <c r="V499" s="41"/>
      <c r="AI499" s="40"/>
    </row>
    <row r="500" spans="20:35" ht="15.75" customHeight="1" x14ac:dyDescent="0.25">
      <c r="T500" s="40"/>
      <c r="U500" s="40"/>
      <c r="V500" s="41"/>
      <c r="AI500" s="40"/>
    </row>
    <row r="501" spans="20:35" ht="15.75" customHeight="1" x14ac:dyDescent="0.25">
      <c r="T501" s="40"/>
      <c r="U501" s="40"/>
      <c r="V501" s="41"/>
      <c r="AI501" s="40"/>
    </row>
    <row r="502" spans="20:35" ht="15.75" customHeight="1" x14ac:dyDescent="0.25">
      <c r="T502" s="40"/>
      <c r="U502" s="40"/>
      <c r="V502" s="41"/>
      <c r="AI502" s="40"/>
    </row>
    <row r="503" spans="20:35" ht="15.75" customHeight="1" x14ac:dyDescent="0.25">
      <c r="T503" s="40"/>
      <c r="U503" s="40"/>
      <c r="V503" s="41"/>
      <c r="AI503" s="40"/>
    </row>
    <row r="504" spans="20:35" ht="15.75" customHeight="1" x14ac:dyDescent="0.25">
      <c r="T504" s="40"/>
      <c r="U504" s="40"/>
      <c r="V504" s="41"/>
      <c r="AI504" s="40"/>
    </row>
    <row r="505" spans="20:35" ht="15.75" customHeight="1" x14ac:dyDescent="0.25">
      <c r="T505" s="40"/>
      <c r="U505" s="40"/>
      <c r="V505" s="41"/>
      <c r="AI505" s="40"/>
    </row>
    <row r="506" spans="20:35" ht="15.75" customHeight="1" x14ac:dyDescent="0.25">
      <c r="T506" s="40"/>
      <c r="U506" s="40"/>
      <c r="V506" s="41"/>
      <c r="AI506" s="40"/>
    </row>
    <row r="507" spans="20:35" ht="15.75" customHeight="1" x14ac:dyDescent="0.25">
      <c r="T507" s="40"/>
      <c r="U507" s="40"/>
      <c r="V507" s="41"/>
      <c r="AI507" s="40"/>
    </row>
    <row r="508" spans="20:35" ht="15.75" customHeight="1" x14ac:dyDescent="0.25">
      <c r="T508" s="40"/>
      <c r="U508" s="40"/>
      <c r="V508" s="41"/>
      <c r="AI508" s="40"/>
    </row>
    <row r="509" spans="20:35" ht="15.75" customHeight="1" x14ac:dyDescent="0.25">
      <c r="T509" s="40"/>
      <c r="U509" s="40"/>
      <c r="V509" s="41"/>
      <c r="AI509" s="40"/>
    </row>
    <row r="510" spans="20:35" ht="15.75" customHeight="1" x14ac:dyDescent="0.25">
      <c r="T510" s="40"/>
      <c r="U510" s="40"/>
      <c r="V510" s="41"/>
      <c r="AI510" s="40"/>
    </row>
    <row r="511" spans="20:35" ht="15.75" customHeight="1" x14ac:dyDescent="0.25">
      <c r="T511" s="40"/>
      <c r="U511" s="40"/>
      <c r="V511" s="41"/>
      <c r="AI511" s="40"/>
    </row>
    <row r="512" spans="20:35" ht="15.75" customHeight="1" x14ac:dyDescent="0.25">
      <c r="T512" s="40"/>
      <c r="U512" s="40"/>
      <c r="V512" s="41"/>
      <c r="AI512" s="40"/>
    </row>
    <row r="513" spans="20:35" ht="15.75" customHeight="1" x14ac:dyDescent="0.25">
      <c r="T513" s="40"/>
      <c r="U513" s="40"/>
      <c r="V513" s="41"/>
      <c r="AI513" s="40"/>
    </row>
    <row r="514" spans="20:35" ht="15.75" customHeight="1" x14ac:dyDescent="0.25">
      <c r="T514" s="40"/>
      <c r="U514" s="40"/>
      <c r="V514" s="41"/>
      <c r="AI514" s="40"/>
    </row>
    <row r="515" spans="20:35" ht="15.75" customHeight="1" x14ac:dyDescent="0.25">
      <c r="T515" s="40"/>
      <c r="U515" s="40"/>
      <c r="V515" s="41"/>
      <c r="AI515" s="40"/>
    </row>
    <row r="516" spans="20:35" ht="15.75" customHeight="1" x14ac:dyDescent="0.25">
      <c r="T516" s="40"/>
      <c r="U516" s="40"/>
      <c r="V516" s="41"/>
      <c r="AI516" s="40"/>
    </row>
    <row r="517" spans="20:35" ht="15.75" customHeight="1" x14ac:dyDescent="0.25">
      <c r="T517" s="40"/>
      <c r="U517" s="40"/>
      <c r="V517" s="41"/>
      <c r="AI517" s="40"/>
    </row>
    <row r="518" spans="20:35" ht="15.75" customHeight="1" x14ac:dyDescent="0.25">
      <c r="T518" s="40"/>
      <c r="U518" s="40"/>
      <c r="V518" s="41"/>
      <c r="AI518" s="40"/>
    </row>
    <row r="519" spans="20:35" ht="15.75" customHeight="1" x14ac:dyDescent="0.25">
      <c r="T519" s="40"/>
      <c r="U519" s="40"/>
      <c r="V519" s="41"/>
      <c r="AI519" s="40"/>
    </row>
    <row r="520" spans="20:35" ht="15.75" customHeight="1" x14ac:dyDescent="0.25">
      <c r="T520" s="40"/>
      <c r="U520" s="40"/>
      <c r="V520" s="41"/>
      <c r="AI520" s="40"/>
    </row>
    <row r="521" spans="20:35" ht="15.75" customHeight="1" x14ac:dyDescent="0.25">
      <c r="T521" s="40"/>
      <c r="U521" s="40"/>
      <c r="V521" s="41"/>
      <c r="AI521" s="40"/>
    </row>
    <row r="522" spans="20:35" ht="15.75" customHeight="1" x14ac:dyDescent="0.25">
      <c r="T522" s="40"/>
      <c r="U522" s="40"/>
      <c r="V522" s="41"/>
      <c r="AI522" s="40"/>
    </row>
    <row r="523" spans="20:35" ht="15.75" customHeight="1" x14ac:dyDescent="0.25">
      <c r="T523" s="40"/>
      <c r="U523" s="40"/>
      <c r="V523" s="41"/>
      <c r="AI523" s="40"/>
    </row>
    <row r="524" spans="20:35" ht="15.75" customHeight="1" x14ac:dyDescent="0.25">
      <c r="T524" s="40"/>
      <c r="U524" s="40"/>
      <c r="V524" s="41"/>
      <c r="AI524" s="40"/>
    </row>
    <row r="525" spans="20:35" ht="15.75" customHeight="1" x14ac:dyDescent="0.25">
      <c r="T525" s="40"/>
      <c r="U525" s="40"/>
      <c r="V525" s="41"/>
      <c r="AI525" s="40"/>
    </row>
    <row r="526" spans="20:35" ht="15.75" customHeight="1" x14ac:dyDescent="0.25">
      <c r="T526" s="40"/>
      <c r="U526" s="40"/>
      <c r="V526" s="41"/>
      <c r="AI526" s="40"/>
    </row>
    <row r="527" spans="20:35" ht="15.75" customHeight="1" x14ac:dyDescent="0.25">
      <c r="T527" s="40"/>
      <c r="U527" s="40"/>
      <c r="V527" s="41"/>
      <c r="AI527" s="40"/>
    </row>
    <row r="528" spans="20:35" ht="15.75" customHeight="1" x14ac:dyDescent="0.25">
      <c r="T528" s="40"/>
      <c r="U528" s="40"/>
      <c r="V528" s="41"/>
      <c r="AI528" s="40"/>
    </row>
    <row r="529" spans="20:35" ht="15.75" customHeight="1" x14ac:dyDescent="0.25">
      <c r="T529" s="40"/>
      <c r="U529" s="40"/>
      <c r="V529" s="41"/>
      <c r="AI529" s="40"/>
    </row>
    <row r="530" spans="20:35" ht="15.75" customHeight="1" x14ac:dyDescent="0.25">
      <c r="T530" s="40"/>
      <c r="U530" s="40"/>
      <c r="V530" s="41"/>
      <c r="AI530" s="40"/>
    </row>
    <row r="531" spans="20:35" ht="15.75" customHeight="1" x14ac:dyDescent="0.25">
      <c r="T531" s="40"/>
      <c r="U531" s="40"/>
      <c r="V531" s="41"/>
      <c r="AI531" s="40"/>
    </row>
    <row r="532" spans="20:35" ht="15.75" customHeight="1" x14ac:dyDescent="0.25">
      <c r="T532" s="40"/>
      <c r="U532" s="40"/>
      <c r="V532" s="41"/>
      <c r="AI532" s="40"/>
    </row>
    <row r="533" spans="20:35" ht="15.75" customHeight="1" x14ac:dyDescent="0.25">
      <c r="T533" s="40"/>
      <c r="U533" s="40"/>
      <c r="V533" s="41"/>
      <c r="AI533" s="40"/>
    </row>
    <row r="534" spans="20:35" ht="15.75" customHeight="1" x14ac:dyDescent="0.25">
      <c r="T534" s="40"/>
      <c r="U534" s="40"/>
      <c r="V534" s="41"/>
      <c r="AI534" s="40"/>
    </row>
    <row r="535" spans="20:35" ht="15.75" customHeight="1" x14ac:dyDescent="0.25">
      <c r="T535" s="40"/>
      <c r="U535" s="40"/>
      <c r="V535" s="41"/>
      <c r="AI535" s="40"/>
    </row>
    <row r="536" spans="20:35" ht="15.75" customHeight="1" x14ac:dyDescent="0.25">
      <c r="T536" s="40"/>
      <c r="U536" s="40"/>
      <c r="V536" s="41"/>
      <c r="AI536" s="40"/>
    </row>
    <row r="537" spans="20:35" ht="15.75" customHeight="1" x14ac:dyDescent="0.25">
      <c r="T537" s="40"/>
      <c r="U537" s="40"/>
      <c r="V537" s="41"/>
      <c r="AI537" s="40"/>
    </row>
    <row r="538" spans="20:35" ht="15.75" customHeight="1" x14ac:dyDescent="0.25">
      <c r="T538" s="40"/>
      <c r="U538" s="40"/>
      <c r="V538" s="41"/>
      <c r="AI538" s="40"/>
    </row>
    <row r="539" spans="20:35" ht="15.75" customHeight="1" x14ac:dyDescent="0.25">
      <c r="T539" s="40"/>
      <c r="U539" s="40"/>
      <c r="V539" s="41"/>
      <c r="AI539" s="40"/>
    </row>
    <row r="540" spans="20:35" ht="15.75" customHeight="1" x14ac:dyDescent="0.25">
      <c r="T540" s="40"/>
      <c r="U540" s="40"/>
      <c r="V540" s="41"/>
      <c r="AI540" s="40"/>
    </row>
    <row r="541" spans="20:35" ht="15.75" customHeight="1" x14ac:dyDescent="0.25">
      <c r="T541" s="40"/>
      <c r="U541" s="40"/>
      <c r="V541" s="41"/>
      <c r="AI541" s="40"/>
    </row>
    <row r="542" spans="20:35" ht="15.75" customHeight="1" x14ac:dyDescent="0.25">
      <c r="T542" s="40"/>
      <c r="U542" s="40"/>
      <c r="V542" s="41"/>
      <c r="AI542" s="40"/>
    </row>
    <row r="543" spans="20:35" ht="15.75" customHeight="1" x14ac:dyDescent="0.25">
      <c r="T543" s="40"/>
      <c r="U543" s="40"/>
      <c r="V543" s="41"/>
      <c r="AI543" s="40"/>
    </row>
    <row r="544" spans="20:35" ht="15.75" customHeight="1" x14ac:dyDescent="0.25">
      <c r="T544" s="40"/>
      <c r="U544" s="40"/>
      <c r="V544" s="41"/>
      <c r="AI544" s="40"/>
    </row>
    <row r="545" spans="20:35" ht="15.75" customHeight="1" x14ac:dyDescent="0.25">
      <c r="T545" s="40"/>
      <c r="U545" s="40"/>
      <c r="V545" s="41"/>
      <c r="AI545" s="40"/>
    </row>
    <row r="546" spans="20:35" ht="15.75" customHeight="1" x14ac:dyDescent="0.25">
      <c r="T546" s="40"/>
      <c r="U546" s="40"/>
      <c r="V546" s="41"/>
      <c r="AI546" s="40"/>
    </row>
    <row r="547" spans="20:35" ht="15.75" customHeight="1" x14ac:dyDescent="0.25">
      <c r="T547" s="40"/>
      <c r="U547" s="40"/>
      <c r="V547" s="41"/>
      <c r="AI547" s="40"/>
    </row>
    <row r="548" spans="20:35" ht="15.75" customHeight="1" x14ac:dyDescent="0.25">
      <c r="T548" s="40"/>
      <c r="U548" s="40"/>
      <c r="V548" s="41"/>
      <c r="AI548" s="40"/>
    </row>
    <row r="549" spans="20:35" ht="15.75" customHeight="1" x14ac:dyDescent="0.25">
      <c r="T549" s="40"/>
      <c r="U549" s="40"/>
      <c r="V549" s="41"/>
      <c r="AI549" s="40"/>
    </row>
    <row r="550" spans="20:35" ht="15.75" customHeight="1" x14ac:dyDescent="0.25">
      <c r="T550" s="40"/>
      <c r="U550" s="40"/>
      <c r="V550" s="41"/>
      <c r="AI550" s="40"/>
    </row>
    <row r="551" spans="20:35" ht="15.75" customHeight="1" x14ac:dyDescent="0.25">
      <c r="T551" s="40"/>
      <c r="U551" s="40"/>
      <c r="V551" s="41"/>
      <c r="AI551" s="40"/>
    </row>
    <row r="552" spans="20:35" ht="15.75" customHeight="1" x14ac:dyDescent="0.25">
      <c r="T552" s="40"/>
      <c r="U552" s="40"/>
      <c r="V552" s="41"/>
      <c r="AI552" s="40"/>
    </row>
    <row r="553" spans="20:35" ht="15.75" customHeight="1" x14ac:dyDescent="0.25">
      <c r="T553" s="40"/>
      <c r="U553" s="40"/>
      <c r="V553" s="41"/>
      <c r="AI553" s="40"/>
    </row>
    <row r="554" spans="20:35" ht="15.75" customHeight="1" x14ac:dyDescent="0.25">
      <c r="T554" s="40"/>
      <c r="U554" s="40"/>
      <c r="V554" s="41"/>
      <c r="AI554" s="40"/>
    </row>
    <row r="555" spans="20:35" ht="15.75" customHeight="1" x14ac:dyDescent="0.25">
      <c r="T555" s="40"/>
      <c r="U555" s="40"/>
      <c r="V555" s="41"/>
      <c r="AI555" s="40"/>
    </row>
    <row r="556" spans="20:35" ht="15.75" customHeight="1" x14ac:dyDescent="0.25">
      <c r="T556" s="40"/>
      <c r="U556" s="40"/>
      <c r="V556" s="41"/>
      <c r="AI556" s="40"/>
    </row>
    <row r="557" spans="20:35" ht="15.75" customHeight="1" x14ac:dyDescent="0.25">
      <c r="T557" s="40"/>
      <c r="U557" s="40"/>
      <c r="V557" s="41"/>
      <c r="AI557" s="40"/>
    </row>
    <row r="558" spans="20:35" ht="15.75" customHeight="1" x14ac:dyDescent="0.25">
      <c r="T558" s="40"/>
      <c r="U558" s="40"/>
      <c r="V558" s="41"/>
      <c r="AI558" s="40"/>
    </row>
    <row r="559" spans="20:35" ht="15.75" customHeight="1" x14ac:dyDescent="0.25">
      <c r="T559" s="40"/>
      <c r="U559" s="40"/>
      <c r="V559" s="41"/>
      <c r="AI559" s="40"/>
    </row>
    <row r="560" spans="20:35" ht="15.75" customHeight="1" x14ac:dyDescent="0.25">
      <c r="T560" s="40"/>
      <c r="U560" s="40"/>
      <c r="V560" s="41"/>
      <c r="AI560" s="40"/>
    </row>
    <row r="561" spans="20:35" ht="15.75" customHeight="1" x14ac:dyDescent="0.25">
      <c r="T561" s="40"/>
      <c r="U561" s="40"/>
      <c r="V561" s="41"/>
      <c r="AI561" s="40"/>
    </row>
    <row r="562" spans="20:35" ht="15.75" customHeight="1" x14ac:dyDescent="0.25">
      <c r="T562" s="40"/>
      <c r="U562" s="40"/>
      <c r="V562" s="41"/>
      <c r="AI562" s="40"/>
    </row>
    <row r="563" spans="20:35" ht="15.75" customHeight="1" x14ac:dyDescent="0.25">
      <c r="T563" s="40"/>
      <c r="U563" s="40"/>
      <c r="V563" s="41"/>
      <c r="AI563" s="40"/>
    </row>
    <row r="564" spans="20:35" ht="15.75" customHeight="1" x14ac:dyDescent="0.25">
      <c r="T564" s="40"/>
      <c r="U564" s="40"/>
      <c r="V564" s="41"/>
      <c r="AI564" s="40"/>
    </row>
    <row r="565" spans="20:35" ht="15.75" customHeight="1" x14ac:dyDescent="0.25">
      <c r="T565" s="40"/>
      <c r="U565" s="40"/>
      <c r="V565" s="41"/>
      <c r="AI565" s="40"/>
    </row>
    <row r="566" spans="20:35" ht="15.75" customHeight="1" x14ac:dyDescent="0.25">
      <c r="T566" s="40"/>
      <c r="U566" s="40"/>
      <c r="V566" s="41"/>
      <c r="AI566" s="40"/>
    </row>
    <row r="567" spans="20:35" ht="15.75" customHeight="1" x14ac:dyDescent="0.25">
      <c r="T567" s="40"/>
      <c r="U567" s="40"/>
      <c r="V567" s="41"/>
      <c r="AI567" s="40"/>
    </row>
    <row r="568" spans="20:35" ht="15.75" customHeight="1" x14ac:dyDescent="0.25">
      <c r="T568" s="40"/>
      <c r="U568" s="40"/>
      <c r="V568" s="41"/>
      <c r="AI568" s="40"/>
    </row>
    <row r="569" spans="20:35" ht="15.75" customHeight="1" x14ac:dyDescent="0.25">
      <c r="T569" s="40"/>
      <c r="U569" s="40"/>
      <c r="V569" s="41"/>
      <c r="AI569" s="40"/>
    </row>
    <row r="570" spans="20:35" ht="15.75" customHeight="1" x14ac:dyDescent="0.25">
      <c r="T570" s="40"/>
      <c r="U570" s="40"/>
      <c r="V570" s="41"/>
      <c r="AI570" s="40"/>
    </row>
    <row r="571" spans="20:35" ht="15.75" customHeight="1" x14ac:dyDescent="0.25">
      <c r="T571" s="40"/>
      <c r="U571" s="40"/>
      <c r="V571" s="41"/>
      <c r="AI571" s="40"/>
    </row>
    <row r="572" spans="20:35" ht="15.75" customHeight="1" x14ac:dyDescent="0.25">
      <c r="T572" s="40"/>
      <c r="U572" s="40"/>
      <c r="V572" s="41"/>
      <c r="AI572" s="40"/>
    </row>
    <row r="573" spans="20:35" ht="15.75" customHeight="1" x14ac:dyDescent="0.25">
      <c r="T573" s="40"/>
      <c r="U573" s="40"/>
      <c r="V573" s="41"/>
      <c r="AI573" s="40"/>
    </row>
    <row r="574" spans="20:35" ht="15.75" customHeight="1" x14ac:dyDescent="0.25">
      <c r="T574" s="40"/>
      <c r="U574" s="40"/>
      <c r="V574" s="41"/>
      <c r="AI574" s="40"/>
    </row>
    <row r="575" spans="20:35" ht="15.75" customHeight="1" x14ac:dyDescent="0.25">
      <c r="T575" s="40"/>
      <c r="U575" s="40"/>
      <c r="V575" s="41"/>
      <c r="AI575" s="40"/>
    </row>
    <row r="576" spans="20:35" ht="15.75" customHeight="1" x14ac:dyDescent="0.25">
      <c r="T576" s="40"/>
      <c r="U576" s="40"/>
      <c r="V576" s="41"/>
      <c r="AI576" s="40"/>
    </row>
    <row r="577" spans="20:35" ht="15.75" customHeight="1" x14ac:dyDescent="0.25">
      <c r="T577" s="40"/>
      <c r="U577" s="40"/>
      <c r="V577" s="41"/>
      <c r="AI577" s="40"/>
    </row>
    <row r="578" spans="20:35" ht="15.75" customHeight="1" x14ac:dyDescent="0.25">
      <c r="T578" s="40"/>
      <c r="U578" s="40"/>
      <c r="V578" s="41"/>
      <c r="AI578" s="40"/>
    </row>
    <row r="579" spans="20:35" ht="15.75" customHeight="1" x14ac:dyDescent="0.25">
      <c r="T579" s="40"/>
      <c r="U579" s="40"/>
      <c r="V579" s="41"/>
      <c r="AI579" s="40"/>
    </row>
    <row r="580" spans="20:35" ht="15.75" customHeight="1" x14ac:dyDescent="0.25">
      <c r="T580" s="40"/>
      <c r="U580" s="40"/>
      <c r="V580" s="41"/>
      <c r="AI580" s="40"/>
    </row>
    <row r="581" spans="20:35" ht="15.75" customHeight="1" x14ac:dyDescent="0.25">
      <c r="T581" s="40"/>
      <c r="U581" s="40"/>
      <c r="V581" s="41"/>
      <c r="AI581" s="40"/>
    </row>
    <row r="582" spans="20:35" ht="15.75" customHeight="1" x14ac:dyDescent="0.25">
      <c r="T582" s="40"/>
      <c r="U582" s="40"/>
      <c r="V582" s="41"/>
      <c r="AI582" s="40"/>
    </row>
    <row r="583" spans="20:35" ht="15.75" customHeight="1" x14ac:dyDescent="0.25">
      <c r="T583" s="40"/>
      <c r="U583" s="40"/>
      <c r="V583" s="41"/>
      <c r="AI583" s="40"/>
    </row>
    <row r="584" spans="20:35" ht="15.75" customHeight="1" x14ac:dyDescent="0.25">
      <c r="T584" s="40"/>
      <c r="U584" s="40"/>
      <c r="V584" s="41"/>
      <c r="AI584" s="40"/>
    </row>
    <row r="585" spans="20:35" ht="15.75" customHeight="1" x14ac:dyDescent="0.25">
      <c r="T585" s="40"/>
      <c r="U585" s="40"/>
      <c r="V585" s="41"/>
      <c r="AI585" s="40"/>
    </row>
    <row r="586" spans="20:35" ht="15.75" customHeight="1" x14ac:dyDescent="0.25">
      <c r="T586" s="40"/>
      <c r="U586" s="40"/>
      <c r="V586" s="41"/>
      <c r="AI586" s="40"/>
    </row>
    <row r="587" spans="20:35" ht="15.75" customHeight="1" x14ac:dyDescent="0.25">
      <c r="T587" s="40"/>
      <c r="U587" s="40"/>
      <c r="V587" s="41"/>
      <c r="AI587" s="40"/>
    </row>
    <row r="588" spans="20:35" ht="15.75" customHeight="1" x14ac:dyDescent="0.25">
      <c r="T588" s="40"/>
      <c r="U588" s="40"/>
      <c r="V588" s="41"/>
      <c r="AI588" s="40"/>
    </row>
    <row r="589" spans="20:35" ht="15.75" customHeight="1" x14ac:dyDescent="0.25">
      <c r="T589" s="40"/>
      <c r="U589" s="40"/>
      <c r="V589" s="41"/>
      <c r="AI589" s="40"/>
    </row>
    <row r="590" spans="20:35" ht="15.75" customHeight="1" x14ac:dyDescent="0.25">
      <c r="T590" s="40"/>
      <c r="U590" s="40"/>
      <c r="V590" s="41"/>
      <c r="AI590" s="40"/>
    </row>
    <row r="591" spans="20:35" ht="15.75" customHeight="1" x14ac:dyDescent="0.25">
      <c r="T591" s="40"/>
      <c r="U591" s="40"/>
      <c r="V591" s="41"/>
      <c r="AI591" s="40"/>
    </row>
    <row r="592" spans="20:35" ht="15.75" customHeight="1" x14ac:dyDescent="0.25">
      <c r="T592" s="40"/>
      <c r="U592" s="40"/>
      <c r="V592" s="41"/>
      <c r="AI592" s="40"/>
    </row>
    <row r="593" spans="20:35" ht="15.75" customHeight="1" x14ac:dyDescent="0.25">
      <c r="T593" s="40"/>
      <c r="U593" s="40"/>
      <c r="V593" s="41"/>
      <c r="AI593" s="40"/>
    </row>
    <row r="594" spans="20:35" ht="15.75" customHeight="1" x14ac:dyDescent="0.25">
      <c r="T594" s="40"/>
      <c r="U594" s="40"/>
      <c r="V594" s="41"/>
      <c r="AI594" s="40"/>
    </row>
    <row r="595" spans="20:35" ht="15.75" customHeight="1" x14ac:dyDescent="0.25">
      <c r="T595" s="40"/>
      <c r="U595" s="40"/>
      <c r="V595" s="41"/>
      <c r="AI595" s="40"/>
    </row>
    <row r="596" spans="20:35" ht="15.75" customHeight="1" x14ac:dyDescent="0.25">
      <c r="T596" s="40"/>
      <c r="U596" s="40"/>
      <c r="V596" s="41"/>
      <c r="AI596" s="40"/>
    </row>
    <row r="597" spans="20:35" ht="15.75" customHeight="1" x14ac:dyDescent="0.25">
      <c r="T597" s="40"/>
      <c r="U597" s="40"/>
      <c r="V597" s="41"/>
      <c r="AI597" s="40"/>
    </row>
    <row r="598" spans="20:35" ht="15.75" customHeight="1" x14ac:dyDescent="0.25">
      <c r="T598" s="40"/>
      <c r="U598" s="40"/>
      <c r="V598" s="41"/>
      <c r="AI598" s="40"/>
    </row>
    <row r="599" spans="20:35" ht="15.75" customHeight="1" x14ac:dyDescent="0.25">
      <c r="T599" s="40"/>
      <c r="U599" s="40"/>
      <c r="V599" s="41"/>
      <c r="AI599" s="40"/>
    </row>
    <row r="600" spans="20:35" ht="15.75" customHeight="1" x14ac:dyDescent="0.25">
      <c r="T600" s="40"/>
      <c r="U600" s="40"/>
      <c r="V600" s="41"/>
      <c r="AI600" s="40"/>
    </row>
    <row r="601" spans="20:35" ht="15.75" customHeight="1" x14ac:dyDescent="0.25">
      <c r="T601" s="40"/>
      <c r="U601" s="40"/>
      <c r="V601" s="41"/>
      <c r="AI601" s="40"/>
    </row>
    <row r="602" spans="20:35" ht="15.75" customHeight="1" x14ac:dyDescent="0.25">
      <c r="T602" s="40"/>
      <c r="U602" s="40"/>
      <c r="V602" s="41"/>
      <c r="AI602" s="40"/>
    </row>
    <row r="603" spans="20:35" ht="15.75" customHeight="1" x14ac:dyDescent="0.25">
      <c r="T603" s="40"/>
      <c r="U603" s="40"/>
      <c r="V603" s="41"/>
      <c r="AI603" s="40"/>
    </row>
    <row r="604" spans="20:35" ht="15.75" customHeight="1" x14ac:dyDescent="0.25">
      <c r="T604" s="40"/>
      <c r="U604" s="40"/>
      <c r="V604" s="41"/>
      <c r="AI604" s="40"/>
    </row>
    <row r="605" spans="20:35" ht="15.75" customHeight="1" x14ac:dyDescent="0.25">
      <c r="T605" s="40"/>
      <c r="U605" s="40"/>
      <c r="V605" s="41"/>
      <c r="AI605" s="40"/>
    </row>
    <row r="606" spans="20:35" ht="15.75" customHeight="1" x14ac:dyDescent="0.25">
      <c r="T606" s="40"/>
      <c r="U606" s="40"/>
      <c r="V606" s="41"/>
      <c r="AI606" s="40"/>
    </row>
    <row r="607" spans="20:35" ht="15.75" customHeight="1" x14ac:dyDescent="0.25">
      <c r="T607" s="40"/>
      <c r="U607" s="40"/>
      <c r="V607" s="41"/>
      <c r="AI607" s="40"/>
    </row>
    <row r="608" spans="20:35" ht="15.75" customHeight="1" x14ac:dyDescent="0.25">
      <c r="T608" s="40"/>
      <c r="U608" s="40"/>
      <c r="V608" s="41"/>
      <c r="AI608" s="40"/>
    </row>
    <row r="609" spans="20:35" ht="15.75" customHeight="1" x14ac:dyDescent="0.25">
      <c r="T609" s="40"/>
      <c r="U609" s="40"/>
      <c r="V609" s="41"/>
      <c r="AI609" s="40"/>
    </row>
    <row r="610" spans="20:35" ht="15.75" customHeight="1" x14ac:dyDescent="0.25">
      <c r="T610" s="40"/>
      <c r="U610" s="40"/>
      <c r="V610" s="41"/>
      <c r="AI610" s="40"/>
    </row>
    <row r="611" spans="20:35" ht="15.75" customHeight="1" x14ac:dyDescent="0.25">
      <c r="T611" s="40"/>
      <c r="U611" s="40"/>
      <c r="V611" s="41"/>
      <c r="AI611" s="40"/>
    </row>
    <row r="612" spans="20:35" ht="15.75" customHeight="1" x14ac:dyDescent="0.25">
      <c r="T612" s="40"/>
      <c r="U612" s="40"/>
      <c r="V612" s="41"/>
      <c r="AI612" s="40"/>
    </row>
    <row r="613" spans="20:35" ht="15.75" customHeight="1" x14ac:dyDescent="0.25">
      <c r="T613" s="40"/>
      <c r="U613" s="40"/>
      <c r="V613" s="41"/>
      <c r="AI613" s="40"/>
    </row>
    <row r="614" spans="20:35" ht="15.75" customHeight="1" x14ac:dyDescent="0.25">
      <c r="T614" s="40"/>
      <c r="U614" s="40"/>
      <c r="V614" s="41"/>
      <c r="AI614" s="40"/>
    </row>
    <row r="615" spans="20:35" ht="15.75" customHeight="1" x14ac:dyDescent="0.25">
      <c r="T615" s="40"/>
      <c r="U615" s="40"/>
      <c r="V615" s="41"/>
      <c r="AI615" s="40"/>
    </row>
    <row r="616" spans="20:35" ht="15.75" customHeight="1" x14ac:dyDescent="0.25">
      <c r="T616" s="40"/>
      <c r="U616" s="40"/>
      <c r="V616" s="41"/>
      <c r="AI616" s="40"/>
    </row>
    <row r="617" spans="20:35" ht="15.75" customHeight="1" x14ac:dyDescent="0.25">
      <c r="T617" s="40"/>
      <c r="U617" s="40"/>
      <c r="V617" s="41"/>
      <c r="AI617" s="40"/>
    </row>
    <row r="618" spans="20:35" ht="15.75" customHeight="1" x14ac:dyDescent="0.25">
      <c r="T618" s="40"/>
      <c r="U618" s="40"/>
      <c r="V618" s="41"/>
      <c r="AI618" s="40"/>
    </row>
    <row r="619" spans="20:35" ht="15.75" customHeight="1" x14ac:dyDescent="0.25">
      <c r="T619" s="40"/>
      <c r="U619" s="40"/>
      <c r="V619" s="41"/>
      <c r="AI619" s="40"/>
    </row>
    <row r="620" spans="20:35" ht="15.75" customHeight="1" x14ac:dyDescent="0.25">
      <c r="T620" s="40"/>
      <c r="U620" s="40"/>
      <c r="V620" s="41"/>
      <c r="AI620" s="40"/>
    </row>
    <row r="621" spans="20:35" ht="15.75" customHeight="1" x14ac:dyDescent="0.25">
      <c r="T621" s="40"/>
      <c r="U621" s="40"/>
      <c r="V621" s="41"/>
      <c r="AI621" s="40"/>
    </row>
    <row r="622" spans="20:35" ht="15.75" customHeight="1" x14ac:dyDescent="0.25">
      <c r="T622" s="40"/>
      <c r="U622" s="40"/>
      <c r="V622" s="41"/>
      <c r="AI622" s="40"/>
    </row>
    <row r="623" spans="20:35" ht="15.75" customHeight="1" x14ac:dyDescent="0.25">
      <c r="T623" s="40"/>
      <c r="U623" s="40"/>
      <c r="V623" s="41"/>
      <c r="AI623" s="40"/>
    </row>
    <row r="624" spans="20:35" ht="15.75" customHeight="1" x14ac:dyDescent="0.25">
      <c r="T624" s="40"/>
      <c r="U624" s="40"/>
      <c r="V624" s="41"/>
      <c r="AI624" s="40"/>
    </row>
    <row r="625" spans="20:35" ht="15.75" customHeight="1" x14ac:dyDescent="0.25">
      <c r="T625" s="40"/>
      <c r="U625" s="40"/>
      <c r="V625" s="41"/>
      <c r="AI625" s="40"/>
    </row>
    <row r="626" spans="20:35" ht="15.75" customHeight="1" x14ac:dyDescent="0.25">
      <c r="T626" s="40"/>
      <c r="U626" s="40"/>
      <c r="V626" s="41"/>
      <c r="AI626" s="40"/>
    </row>
    <row r="627" spans="20:35" ht="15.75" customHeight="1" x14ac:dyDescent="0.25">
      <c r="T627" s="40"/>
      <c r="U627" s="40"/>
      <c r="V627" s="41"/>
      <c r="AI627" s="40"/>
    </row>
    <row r="628" spans="20:35" ht="15.75" customHeight="1" x14ac:dyDescent="0.25">
      <c r="T628" s="40"/>
      <c r="U628" s="40"/>
      <c r="V628" s="41"/>
      <c r="AI628" s="40"/>
    </row>
    <row r="629" spans="20:35" ht="15.75" customHeight="1" x14ac:dyDescent="0.25">
      <c r="T629" s="40"/>
      <c r="U629" s="40"/>
      <c r="V629" s="41"/>
      <c r="AI629" s="40"/>
    </row>
    <row r="630" spans="20:35" ht="15.75" customHeight="1" x14ac:dyDescent="0.25">
      <c r="T630" s="40"/>
      <c r="U630" s="40"/>
      <c r="V630" s="41"/>
      <c r="AI630" s="40"/>
    </row>
    <row r="631" spans="20:35" ht="15.75" customHeight="1" x14ac:dyDescent="0.25">
      <c r="T631" s="40"/>
      <c r="U631" s="40"/>
      <c r="V631" s="41"/>
      <c r="AI631" s="40"/>
    </row>
    <row r="632" spans="20:35" ht="15.75" customHeight="1" x14ac:dyDescent="0.25">
      <c r="T632" s="40"/>
      <c r="U632" s="40"/>
      <c r="V632" s="41"/>
      <c r="AI632" s="40"/>
    </row>
    <row r="633" spans="20:35" ht="15.75" customHeight="1" x14ac:dyDescent="0.25">
      <c r="T633" s="40"/>
      <c r="U633" s="40"/>
      <c r="V633" s="41"/>
      <c r="AI633" s="40"/>
    </row>
    <row r="634" spans="20:35" ht="15.75" customHeight="1" x14ac:dyDescent="0.25">
      <c r="T634" s="40"/>
      <c r="U634" s="40"/>
      <c r="V634" s="41"/>
      <c r="AI634" s="40"/>
    </row>
    <row r="635" spans="20:35" ht="15.75" customHeight="1" x14ac:dyDescent="0.25">
      <c r="T635" s="40"/>
      <c r="U635" s="40"/>
      <c r="V635" s="41"/>
      <c r="AI635" s="40"/>
    </row>
    <row r="636" spans="20:35" ht="15.75" customHeight="1" x14ac:dyDescent="0.25">
      <c r="T636" s="40"/>
      <c r="U636" s="40"/>
      <c r="V636" s="41"/>
      <c r="AI636" s="40"/>
    </row>
    <row r="637" spans="20:35" ht="15.75" customHeight="1" x14ac:dyDescent="0.25">
      <c r="T637" s="40"/>
      <c r="U637" s="40"/>
      <c r="V637" s="41"/>
      <c r="AI637" s="40"/>
    </row>
    <row r="638" spans="20:35" ht="15.75" customHeight="1" x14ac:dyDescent="0.25">
      <c r="T638" s="40"/>
      <c r="U638" s="40"/>
      <c r="V638" s="41"/>
      <c r="AI638" s="40"/>
    </row>
    <row r="639" spans="20:35" ht="15.75" customHeight="1" x14ac:dyDescent="0.25">
      <c r="T639" s="40"/>
      <c r="U639" s="40"/>
      <c r="V639" s="41"/>
      <c r="AI639" s="40"/>
    </row>
    <row r="640" spans="20:35" ht="15.75" customHeight="1" x14ac:dyDescent="0.25">
      <c r="T640" s="40"/>
      <c r="U640" s="40"/>
      <c r="V640" s="41"/>
      <c r="AI640" s="40"/>
    </row>
    <row r="641" spans="20:35" ht="15.75" customHeight="1" x14ac:dyDescent="0.25">
      <c r="T641" s="40"/>
      <c r="U641" s="40"/>
      <c r="V641" s="41"/>
      <c r="AI641" s="40"/>
    </row>
    <row r="642" spans="20:35" ht="15.75" customHeight="1" x14ac:dyDescent="0.25">
      <c r="T642" s="40"/>
      <c r="U642" s="40"/>
      <c r="V642" s="41"/>
      <c r="AI642" s="40"/>
    </row>
    <row r="643" spans="20:35" ht="15.75" customHeight="1" x14ac:dyDescent="0.25">
      <c r="T643" s="40"/>
      <c r="U643" s="40"/>
      <c r="V643" s="41"/>
      <c r="AI643" s="40"/>
    </row>
    <row r="644" spans="20:35" ht="15.75" customHeight="1" x14ac:dyDescent="0.25">
      <c r="T644" s="40"/>
      <c r="U644" s="40"/>
      <c r="V644" s="41"/>
      <c r="AI644" s="40"/>
    </row>
    <row r="645" spans="20:35" ht="15.75" customHeight="1" x14ac:dyDescent="0.25">
      <c r="T645" s="40"/>
      <c r="U645" s="40"/>
      <c r="V645" s="41"/>
      <c r="AI645" s="40"/>
    </row>
    <row r="646" spans="20:35" ht="15.75" customHeight="1" x14ac:dyDescent="0.25">
      <c r="T646" s="40"/>
      <c r="U646" s="40"/>
      <c r="V646" s="41"/>
      <c r="AI646" s="40"/>
    </row>
    <row r="647" spans="20:35" ht="15.75" customHeight="1" x14ac:dyDescent="0.25">
      <c r="T647" s="40"/>
      <c r="U647" s="40"/>
      <c r="V647" s="41"/>
      <c r="AI647" s="40"/>
    </row>
    <row r="648" spans="20:35" ht="15.75" customHeight="1" x14ac:dyDescent="0.25">
      <c r="T648" s="40"/>
      <c r="U648" s="40"/>
      <c r="V648" s="41"/>
      <c r="AI648" s="40"/>
    </row>
    <row r="649" spans="20:35" ht="15.75" customHeight="1" x14ac:dyDescent="0.25">
      <c r="T649" s="40"/>
      <c r="U649" s="40"/>
      <c r="V649" s="41"/>
      <c r="AI649" s="40"/>
    </row>
    <row r="650" spans="20:35" ht="15.75" customHeight="1" x14ac:dyDescent="0.25">
      <c r="T650" s="40"/>
      <c r="U650" s="40"/>
      <c r="V650" s="41"/>
      <c r="AI650" s="40"/>
    </row>
    <row r="651" spans="20:35" ht="15.75" customHeight="1" x14ac:dyDescent="0.25">
      <c r="T651" s="40"/>
      <c r="U651" s="40"/>
      <c r="V651" s="41"/>
      <c r="AI651" s="40"/>
    </row>
    <row r="652" spans="20:35" ht="15.75" customHeight="1" x14ac:dyDescent="0.25">
      <c r="T652" s="40"/>
      <c r="U652" s="40"/>
      <c r="V652" s="41"/>
      <c r="AI652" s="40"/>
    </row>
    <row r="653" spans="20:35" ht="15.75" customHeight="1" x14ac:dyDescent="0.25">
      <c r="T653" s="40"/>
      <c r="U653" s="40"/>
      <c r="V653" s="41"/>
      <c r="AI653" s="40"/>
    </row>
    <row r="654" spans="20:35" ht="15.75" customHeight="1" x14ac:dyDescent="0.25">
      <c r="T654" s="40"/>
      <c r="U654" s="40"/>
      <c r="V654" s="41"/>
      <c r="AI654" s="40"/>
    </row>
    <row r="655" spans="20:35" ht="15.75" customHeight="1" x14ac:dyDescent="0.25">
      <c r="T655" s="40"/>
      <c r="U655" s="40"/>
      <c r="V655" s="41"/>
      <c r="AI655" s="40"/>
    </row>
    <row r="656" spans="20:35" ht="15.75" customHeight="1" x14ac:dyDescent="0.25">
      <c r="T656" s="40"/>
      <c r="U656" s="40"/>
      <c r="V656" s="41"/>
      <c r="AI656" s="40"/>
    </row>
    <row r="657" spans="20:35" ht="15.75" customHeight="1" x14ac:dyDescent="0.25">
      <c r="T657" s="40"/>
      <c r="U657" s="40"/>
      <c r="V657" s="41"/>
      <c r="AI657" s="40"/>
    </row>
    <row r="658" spans="20:35" ht="15.75" customHeight="1" x14ac:dyDescent="0.25">
      <c r="T658" s="40"/>
      <c r="U658" s="40"/>
      <c r="V658" s="41"/>
      <c r="AI658" s="40"/>
    </row>
    <row r="659" spans="20:35" ht="15.75" customHeight="1" x14ac:dyDescent="0.25">
      <c r="T659" s="40"/>
      <c r="U659" s="40"/>
      <c r="V659" s="41"/>
      <c r="AI659" s="40"/>
    </row>
    <row r="660" spans="20:35" ht="15.75" customHeight="1" x14ac:dyDescent="0.25">
      <c r="T660" s="40"/>
      <c r="U660" s="40"/>
      <c r="V660" s="41"/>
      <c r="AI660" s="40"/>
    </row>
    <row r="661" spans="20:35" ht="15.75" customHeight="1" x14ac:dyDescent="0.25">
      <c r="T661" s="40"/>
      <c r="U661" s="40"/>
      <c r="V661" s="41"/>
      <c r="AI661" s="40"/>
    </row>
    <row r="662" spans="20:35" ht="15.75" customHeight="1" x14ac:dyDescent="0.25">
      <c r="T662" s="40"/>
      <c r="U662" s="40"/>
      <c r="V662" s="41"/>
      <c r="AI662" s="40"/>
    </row>
    <row r="663" spans="20:35" ht="15.75" customHeight="1" x14ac:dyDescent="0.25">
      <c r="T663" s="40"/>
      <c r="U663" s="40"/>
      <c r="V663" s="41"/>
      <c r="AI663" s="40"/>
    </row>
    <row r="664" spans="20:35" ht="15.75" customHeight="1" x14ac:dyDescent="0.25">
      <c r="T664" s="40"/>
      <c r="U664" s="40"/>
      <c r="V664" s="41"/>
      <c r="AI664" s="40"/>
    </row>
    <row r="665" spans="20:35" ht="15.75" customHeight="1" x14ac:dyDescent="0.25">
      <c r="T665" s="40"/>
      <c r="U665" s="40"/>
      <c r="V665" s="41"/>
      <c r="AI665" s="40"/>
    </row>
    <row r="666" spans="20:35" ht="15.75" customHeight="1" x14ac:dyDescent="0.25">
      <c r="T666" s="40"/>
      <c r="U666" s="40"/>
      <c r="V666" s="41"/>
      <c r="AI666" s="40"/>
    </row>
    <row r="667" spans="20:35" ht="15.75" customHeight="1" x14ac:dyDescent="0.25">
      <c r="T667" s="40"/>
      <c r="U667" s="40"/>
      <c r="V667" s="41"/>
      <c r="AI667" s="40"/>
    </row>
    <row r="668" spans="20:35" ht="15.75" customHeight="1" x14ac:dyDescent="0.25">
      <c r="T668" s="40"/>
      <c r="U668" s="40"/>
      <c r="V668" s="41"/>
      <c r="AI668" s="40"/>
    </row>
    <row r="669" spans="20:35" ht="15.75" customHeight="1" x14ac:dyDescent="0.25">
      <c r="T669" s="40"/>
      <c r="U669" s="40"/>
      <c r="V669" s="41"/>
      <c r="AI669" s="40"/>
    </row>
    <row r="670" spans="20:35" ht="15.75" customHeight="1" x14ac:dyDescent="0.25">
      <c r="T670" s="40"/>
      <c r="U670" s="40"/>
      <c r="V670" s="41"/>
      <c r="AI670" s="40"/>
    </row>
    <row r="671" spans="20:35" ht="15.75" customHeight="1" x14ac:dyDescent="0.25">
      <c r="T671" s="40"/>
      <c r="U671" s="40"/>
      <c r="V671" s="41"/>
      <c r="AI671" s="40"/>
    </row>
    <row r="672" spans="20:35" ht="15.75" customHeight="1" x14ac:dyDescent="0.25">
      <c r="T672" s="40"/>
      <c r="U672" s="40"/>
      <c r="V672" s="41"/>
      <c r="AI672" s="40"/>
    </row>
    <row r="673" spans="20:35" ht="15.75" customHeight="1" x14ac:dyDescent="0.25">
      <c r="T673" s="40"/>
      <c r="U673" s="40"/>
      <c r="V673" s="41"/>
      <c r="AI673" s="40"/>
    </row>
    <row r="674" spans="20:35" ht="15.75" customHeight="1" x14ac:dyDescent="0.25">
      <c r="T674" s="40"/>
      <c r="U674" s="40"/>
      <c r="V674" s="41"/>
      <c r="AI674" s="40"/>
    </row>
    <row r="675" spans="20:35" ht="15.75" customHeight="1" x14ac:dyDescent="0.25">
      <c r="T675" s="40"/>
      <c r="U675" s="40"/>
      <c r="V675" s="41"/>
      <c r="AI675" s="40"/>
    </row>
    <row r="676" spans="20:35" ht="15.75" customHeight="1" x14ac:dyDescent="0.25">
      <c r="T676" s="40"/>
      <c r="U676" s="40"/>
      <c r="V676" s="41"/>
      <c r="AI676" s="40"/>
    </row>
    <row r="677" spans="20:35" ht="15.75" customHeight="1" x14ac:dyDescent="0.25">
      <c r="T677" s="40"/>
      <c r="U677" s="40"/>
      <c r="V677" s="41"/>
      <c r="AI677" s="40"/>
    </row>
    <row r="678" spans="20:35" ht="15.75" customHeight="1" x14ac:dyDescent="0.25">
      <c r="T678" s="40"/>
      <c r="U678" s="40"/>
      <c r="V678" s="41"/>
      <c r="AI678" s="40"/>
    </row>
    <row r="679" spans="20:35" ht="15.75" customHeight="1" x14ac:dyDescent="0.25">
      <c r="T679" s="40"/>
      <c r="U679" s="40"/>
      <c r="V679" s="41"/>
      <c r="AI679" s="40"/>
    </row>
    <row r="680" spans="20:35" ht="15.75" customHeight="1" x14ac:dyDescent="0.25">
      <c r="T680" s="40"/>
      <c r="U680" s="40"/>
      <c r="V680" s="41"/>
      <c r="AI680" s="40"/>
    </row>
    <row r="681" spans="20:35" ht="15.75" customHeight="1" x14ac:dyDescent="0.25">
      <c r="T681" s="40"/>
      <c r="U681" s="40"/>
      <c r="V681" s="41"/>
      <c r="AI681" s="40"/>
    </row>
    <row r="682" spans="20:35" ht="15.75" customHeight="1" x14ac:dyDescent="0.25">
      <c r="T682" s="40"/>
      <c r="U682" s="40"/>
      <c r="V682" s="41"/>
      <c r="AI682" s="40"/>
    </row>
    <row r="683" spans="20:35" ht="15.75" customHeight="1" x14ac:dyDescent="0.25">
      <c r="T683" s="40"/>
      <c r="U683" s="40"/>
      <c r="V683" s="41"/>
      <c r="AI683" s="40"/>
    </row>
    <row r="684" spans="20:35" ht="15.75" customHeight="1" x14ac:dyDescent="0.25">
      <c r="T684" s="40"/>
      <c r="U684" s="40"/>
      <c r="V684" s="41"/>
      <c r="AI684" s="40"/>
    </row>
    <row r="685" spans="20:35" ht="15.75" customHeight="1" x14ac:dyDescent="0.25">
      <c r="T685" s="40"/>
      <c r="U685" s="40"/>
      <c r="V685" s="41"/>
      <c r="AI685" s="40"/>
    </row>
    <row r="686" spans="20:35" ht="15.75" customHeight="1" x14ac:dyDescent="0.25">
      <c r="T686" s="40"/>
      <c r="U686" s="40"/>
      <c r="V686" s="41"/>
      <c r="AI686" s="40"/>
    </row>
    <row r="687" spans="20:35" ht="15.75" customHeight="1" x14ac:dyDescent="0.25">
      <c r="T687" s="40"/>
      <c r="U687" s="40"/>
      <c r="V687" s="41"/>
      <c r="AI687" s="40"/>
    </row>
    <row r="688" spans="20:35" ht="15.75" customHeight="1" x14ac:dyDescent="0.25">
      <c r="T688" s="40"/>
      <c r="U688" s="40"/>
      <c r="V688" s="41"/>
      <c r="AI688" s="40"/>
    </row>
    <row r="689" spans="20:35" ht="15.75" customHeight="1" x14ac:dyDescent="0.25">
      <c r="T689" s="40"/>
      <c r="U689" s="40"/>
      <c r="V689" s="41"/>
      <c r="AI689" s="40"/>
    </row>
    <row r="690" spans="20:35" ht="15.75" customHeight="1" x14ac:dyDescent="0.25">
      <c r="T690" s="40"/>
      <c r="U690" s="40"/>
      <c r="V690" s="41"/>
      <c r="AI690" s="40"/>
    </row>
    <row r="691" spans="20:35" ht="15.75" customHeight="1" x14ac:dyDescent="0.25">
      <c r="T691" s="40"/>
      <c r="U691" s="40"/>
      <c r="V691" s="41"/>
      <c r="AI691" s="40"/>
    </row>
    <row r="692" spans="20:35" ht="15.75" customHeight="1" x14ac:dyDescent="0.25">
      <c r="T692" s="40"/>
      <c r="U692" s="40"/>
      <c r="V692" s="41"/>
      <c r="AI692" s="40"/>
    </row>
    <row r="693" spans="20:35" ht="15.75" customHeight="1" x14ac:dyDescent="0.25">
      <c r="T693" s="40"/>
      <c r="U693" s="40"/>
      <c r="V693" s="41"/>
      <c r="AI693" s="40"/>
    </row>
    <row r="694" spans="20:35" ht="15.75" customHeight="1" x14ac:dyDescent="0.25">
      <c r="T694" s="40"/>
      <c r="U694" s="40"/>
      <c r="V694" s="41"/>
      <c r="AI694" s="40"/>
    </row>
    <row r="695" spans="20:35" ht="15.75" customHeight="1" x14ac:dyDescent="0.25">
      <c r="T695" s="40"/>
      <c r="U695" s="40"/>
      <c r="V695" s="41"/>
      <c r="AI695" s="40"/>
    </row>
    <row r="696" spans="20:35" ht="15.75" customHeight="1" x14ac:dyDescent="0.25">
      <c r="T696" s="40"/>
      <c r="U696" s="40"/>
      <c r="V696" s="41"/>
      <c r="AI696" s="40"/>
    </row>
    <row r="697" spans="20:35" ht="15.75" customHeight="1" x14ac:dyDescent="0.25">
      <c r="T697" s="40"/>
      <c r="U697" s="40"/>
      <c r="V697" s="41"/>
      <c r="AI697" s="40"/>
    </row>
    <row r="698" spans="20:35" ht="15.75" customHeight="1" x14ac:dyDescent="0.25">
      <c r="T698" s="40"/>
      <c r="U698" s="40"/>
      <c r="V698" s="41"/>
      <c r="AI698" s="40"/>
    </row>
    <row r="699" spans="20:35" ht="15.75" customHeight="1" x14ac:dyDescent="0.25">
      <c r="T699" s="40"/>
      <c r="U699" s="40"/>
      <c r="V699" s="41"/>
      <c r="AI699" s="40"/>
    </row>
    <row r="700" spans="20:35" ht="15.75" customHeight="1" x14ac:dyDescent="0.25">
      <c r="T700" s="40"/>
      <c r="U700" s="40"/>
      <c r="V700" s="41"/>
      <c r="AI700" s="40"/>
    </row>
    <row r="701" spans="20:35" ht="15.75" customHeight="1" x14ac:dyDescent="0.25">
      <c r="T701" s="40"/>
      <c r="U701" s="40"/>
      <c r="V701" s="41"/>
      <c r="AI701" s="40"/>
    </row>
    <row r="702" spans="20:35" ht="15.75" customHeight="1" x14ac:dyDescent="0.25">
      <c r="T702" s="40"/>
      <c r="U702" s="40"/>
      <c r="V702" s="41"/>
      <c r="AI702" s="40"/>
    </row>
    <row r="703" spans="20:35" ht="15.75" customHeight="1" x14ac:dyDescent="0.25">
      <c r="T703" s="40"/>
      <c r="U703" s="40"/>
      <c r="V703" s="41"/>
      <c r="AI703" s="40"/>
    </row>
    <row r="704" spans="20:35" ht="15.75" customHeight="1" x14ac:dyDescent="0.25">
      <c r="T704" s="40"/>
      <c r="U704" s="40"/>
      <c r="V704" s="41"/>
      <c r="AI704" s="40"/>
    </row>
    <row r="705" spans="20:35" ht="15.75" customHeight="1" x14ac:dyDescent="0.25">
      <c r="T705" s="40"/>
      <c r="U705" s="40"/>
      <c r="V705" s="41"/>
      <c r="AI705" s="40"/>
    </row>
    <row r="706" spans="20:35" ht="15.75" customHeight="1" x14ac:dyDescent="0.25">
      <c r="T706" s="40"/>
      <c r="U706" s="40"/>
      <c r="V706" s="41"/>
      <c r="AI706" s="40"/>
    </row>
    <row r="707" spans="20:35" ht="15.75" customHeight="1" x14ac:dyDescent="0.25">
      <c r="T707" s="40"/>
      <c r="U707" s="40"/>
      <c r="V707" s="41"/>
      <c r="AI707" s="40"/>
    </row>
    <row r="708" spans="20:35" ht="15.75" customHeight="1" x14ac:dyDescent="0.25">
      <c r="T708" s="40"/>
      <c r="U708" s="40"/>
      <c r="V708" s="41"/>
      <c r="AI708" s="40"/>
    </row>
    <row r="709" spans="20:35" ht="15.75" customHeight="1" x14ac:dyDescent="0.25">
      <c r="T709" s="40"/>
      <c r="U709" s="40"/>
      <c r="V709" s="41"/>
      <c r="AI709" s="40"/>
    </row>
    <row r="710" spans="20:35" ht="15.75" customHeight="1" x14ac:dyDescent="0.25">
      <c r="T710" s="40"/>
      <c r="U710" s="40"/>
      <c r="V710" s="41"/>
      <c r="AI710" s="40"/>
    </row>
    <row r="711" spans="20:35" ht="15.75" customHeight="1" x14ac:dyDescent="0.25">
      <c r="T711" s="40"/>
      <c r="U711" s="40"/>
      <c r="V711" s="41"/>
      <c r="AI711" s="40"/>
    </row>
    <row r="712" spans="20:35" ht="15.75" customHeight="1" x14ac:dyDescent="0.25">
      <c r="T712" s="40"/>
      <c r="U712" s="40"/>
      <c r="V712" s="41"/>
      <c r="AI712" s="40"/>
    </row>
    <row r="713" spans="20:35" ht="15.75" customHeight="1" x14ac:dyDescent="0.25">
      <c r="T713" s="40"/>
      <c r="U713" s="40"/>
      <c r="V713" s="41"/>
      <c r="AI713" s="40"/>
    </row>
    <row r="714" spans="20:35" ht="15.75" customHeight="1" x14ac:dyDescent="0.25">
      <c r="T714" s="40"/>
      <c r="U714" s="40"/>
      <c r="V714" s="41"/>
      <c r="AI714" s="40"/>
    </row>
    <row r="715" spans="20:35" ht="15.75" customHeight="1" x14ac:dyDescent="0.25">
      <c r="T715" s="40"/>
      <c r="U715" s="40"/>
      <c r="V715" s="41"/>
      <c r="AI715" s="40"/>
    </row>
    <row r="716" spans="20:35" ht="15.75" customHeight="1" x14ac:dyDescent="0.25">
      <c r="T716" s="40"/>
      <c r="U716" s="40"/>
      <c r="V716" s="41"/>
      <c r="AI716" s="40"/>
    </row>
    <row r="717" spans="20:35" ht="15.75" customHeight="1" x14ac:dyDescent="0.25">
      <c r="T717" s="40"/>
      <c r="U717" s="40"/>
      <c r="V717" s="41"/>
      <c r="AI717" s="40"/>
    </row>
    <row r="718" spans="20:35" ht="15.75" customHeight="1" x14ac:dyDescent="0.25">
      <c r="T718" s="40"/>
      <c r="U718" s="40"/>
      <c r="V718" s="41"/>
      <c r="AI718" s="40"/>
    </row>
    <row r="719" spans="20:35" ht="15.75" customHeight="1" x14ac:dyDescent="0.25">
      <c r="T719" s="40"/>
      <c r="U719" s="40"/>
      <c r="V719" s="41"/>
      <c r="AI719" s="40"/>
    </row>
    <row r="720" spans="20:35" ht="15.75" customHeight="1" x14ac:dyDescent="0.25">
      <c r="T720" s="40"/>
      <c r="U720" s="40"/>
      <c r="V720" s="41"/>
      <c r="AI720" s="40"/>
    </row>
    <row r="721" spans="20:35" ht="15.75" customHeight="1" x14ac:dyDescent="0.25">
      <c r="T721" s="40"/>
      <c r="U721" s="40"/>
      <c r="V721" s="41"/>
      <c r="AI721" s="40"/>
    </row>
    <row r="722" spans="20:35" ht="15.75" customHeight="1" x14ac:dyDescent="0.25">
      <c r="T722" s="40"/>
      <c r="U722" s="40"/>
      <c r="V722" s="41"/>
      <c r="AI722" s="40"/>
    </row>
    <row r="723" spans="20:35" ht="15.75" customHeight="1" x14ac:dyDescent="0.25">
      <c r="T723" s="40"/>
      <c r="U723" s="40"/>
      <c r="V723" s="41"/>
      <c r="AI723" s="40"/>
    </row>
    <row r="724" spans="20:35" ht="15.75" customHeight="1" x14ac:dyDescent="0.25">
      <c r="T724" s="40"/>
      <c r="U724" s="40"/>
      <c r="V724" s="41"/>
      <c r="AI724" s="40"/>
    </row>
    <row r="725" spans="20:35" ht="15.75" customHeight="1" x14ac:dyDescent="0.25">
      <c r="T725" s="40"/>
      <c r="U725" s="40"/>
      <c r="V725" s="41"/>
      <c r="AI725" s="40"/>
    </row>
    <row r="726" spans="20:35" ht="15.75" customHeight="1" x14ac:dyDescent="0.25">
      <c r="T726" s="40"/>
      <c r="U726" s="40"/>
      <c r="V726" s="41"/>
      <c r="AI726" s="40"/>
    </row>
    <row r="727" spans="20:35" ht="15.75" customHeight="1" x14ac:dyDescent="0.25">
      <c r="T727" s="40"/>
      <c r="U727" s="40"/>
      <c r="V727" s="41"/>
      <c r="AI727" s="40"/>
    </row>
    <row r="728" spans="20:35" ht="15.75" customHeight="1" x14ac:dyDescent="0.25">
      <c r="T728" s="40"/>
      <c r="U728" s="40"/>
      <c r="V728" s="41"/>
      <c r="AI728" s="40"/>
    </row>
    <row r="729" spans="20:35" ht="15.75" customHeight="1" x14ac:dyDescent="0.25">
      <c r="T729" s="40"/>
      <c r="U729" s="40"/>
      <c r="V729" s="41"/>
      <c r="AI729" s="40"/>
    </row>
    <row r="730" spans="20:35" ht="15.75" customHeight="1" x14ac:dyDescent="0.25">
      <c r="T730" s="40"/>
      <c r="U730" s="40"/>
      <c r="V730" s="41"/>
      <c r="AI730" s="40"/>
    </row>
    <row r="731" spans="20:35" ht="15.75" customHeight="1" x14ac:dyDescent="0.25">
      <c r="T731" s="40"/>
      <c r="U731" s="40"/>
      <c r="V731" s="41"/>
      <c r="AI731" s="40"/>
    </row>
    <row r="732" spans="20:35" ht="15.75" customHeight="1" x14ac:dyDescent="0.25">
      <c r="T732" s="40"/>
      <c r="U732" s="40"/>
      <c r="V732" s="41"/>
      <c r="AI732" s="40"/>
    </row>
    <row r="733" spans="20:35" ht="15.75" customHeight="1" x14ac:dyDescent="0.25">
      <c r="T733" s="40"/>
      <c r="U733" s="40"/>
      <c r="V733" s="41"/>
      <c r="AI733" s="40"/>
    </row>
    <row r="734" spans="20:35" ht="15.75" customHeight="1" x14ac:dyDescent="0.25">
      <c r="T734" s="40"/>
      <c r="U734" s="40"/>
      <c r="V734" s="41"/>
      <c r="AI734" s="40"/>
    </row>
    <row r="735" spans="20:35" ht="15.75" customHeight="1" x14ac:dyDescent="0.25">
      <c r="T735" s="40"/>
      <c r="U735" s="40"/>
      <c r="V735" s="41"/>
      <c r="AI735" s="40"/>
    </row>
    <row r="736" spans="20:35" ht="15.75" customHeight="1" x14ac:dyDescent="0.25">
      <c r="T736" s="40"/>
      <c r="U736" s="40"/>
      <c r="V736" s="41"/>
      <c r="AI736" s="40"/>
    </row>
    <row r="737" spans="20:35" ht="15.75" customHeight="1" x14ac:dyDescent="0.25">
      <c r="T737" s="40"/>
      <c r="U737" s="40"/>
      <c r="V737" s="41"/>
      <c r="AI737" s="40"/>
    </row>
    <row r="738" spans="20:35" ht="15.75" customHeight="1" x14ac:dyDescent="0.25">
      <c r="T738" s="40"/>
      <c r="U738" s="40"/>
      <c r="V738" s="41"/>
      <c r="AI738" s="40"/>
    </row>
    <row r="739" spans="20:35" ht="15.75" customHeight="1" x14ac:dyDescent="0.25">
      <c r="T739" s="40"/>
      <c r="U739" s="40"/>
      <c r="V739" s="41"/>
      <c r="AI739" s="40"/>
    </row>
    <row r="740" spans="20:35" ht="15.75" customHeight="1" x14ac:dyDescent="0.25">
      <c r="T740" s="40"/>
      <c r="U740" s="40"/>
      <c r="V740" s="41"/>
      <c r="AI740" s="40"/>
    </row>
    <row r="741" spans="20:35" ht="15.75" customHeight="1" x14ac:dyDescent="0.25">
      <c r="T741" s="40"/>
      <c r="U741" s="40"/>
      <c r="V741" s="41"/>
      <c r="AI741" s="40"/>
    </row>
    <row r="742" spans="20:35" ht="15.75" customHeight="1" x14ac:dyDescent="0.25">
      <c r="T742" s="40"/>
      <c r="U742" s="40"/>
      <c r="V742" s="41"/>
      <c r="AI742" s="40"/>
    </row>
    <row r="743" spans="20:35" ht="15.75" customHeight="1" x14ac:dyDescent="0.25">
      <c r="T743" s="40"/>
      <c r="U743" s="40"/>
      <c r="V743" s="41"/>
      <c r="AI743" s="40"/>
    </row>
    <row r="744" spans="20:35" ht="15.75" customHeight="1" x14ac:dyDescent="0.25">
      <c r="T744" s="40"/>
      <c r="U744" s="40"/>
      <c r="V744" s="41"/>
      <c r="AI744" s="40"/>
    </row>
    <row r="745" spans="20:35" ht="15.75" customHeight="1" x14ac:dyDescent="0.25">
      <c r="T745" s="40"/>
      <c r="U745" s="40"/>
      <c r="V745" s="41"/>
      <c r="AI745" s="40"/>
    </row>
    <row r="746" spans="20:35" ht="15.75" customHeight="1" x14ac:dyDescent="0.25">
      <c r="T746" s="40"/>
      <c r="U746" s="40"/>
      <c r="V746" s="41"/>
      <c r="AI746" s="40"/>
    </row>
    <row r="747" spans="20:35" ht="15.75" customHeight="1" x14ac:dyDescent="0.25">
      <c r="T747" s="40"/>
      <c r="U747" s="40"/>
      <c r="V747" s="41"/>
      <c r="AI747" s="40"/>
    </row>
    <row r="748" spans="20:35" ht="15.75" customHeight="1" x14ac:dyDescent="0.25">
      <c r="T748" s="40"/>
      <c r="U748" s="40"/>
      <c r="V748" s="41"/>
      <c r="AI748" s="40"/>
    </row>
    <row r="749" spans="20:35" ht="15.75" customHeight="1" x14ac:dyDescent="0.25">
      <c r="T749" s="40"/>
      <c r="U749" s="40"/>
      <c r="V749" s="41"/>
      <c r="AI749" s="40"/>
    </row>
    <row r="750" spans="20:35" ht="15.75" customHeight="1" x14ac:dyDescent="0.25">
      <c r="T750" s="40"/>
      <c r="U750" s="40"/>
      <c r="V750" s="41"/>
      <c r="AI750" s="40"/>
    </row>
    <row r="751" spans="20:35" ht="15.75" customHeight="1" x14ac:dyDescent="0.25">
      <c r="T751" s="40"/>
      <c r="U751" s="40"/>
      <c r="V751" s="41"/>
      <c r="AI751" s="40"/>
    </row>
    <row r="752" spans="20:35" ht="15.75" customHeight="1" x14ac:dyDescent="0.25">
      <c r="T752" s="40"/>
      <c r="U752" s="40"/>
      <c r="V752" s="41"/>
      <c r="AI752" s="40"/>
    </row>
    <row r="753" spans="20:35" ht="15.75" customHeight="1" x14ac:dyDescent="0.25">
      <c r="T753" s="40"/>
      <c r="U753" s="40"/>
      <c r="V753" s="41"/>
      <c r="AI753" s="40"/>
    </row>
    <row r="754" spans="20:35" ht="15.75" customHeight="1" x14ac:dyDescent="0.25">
      <c r="T754" s="40"/>
      <c r="U754" s="40"/>
      <c r="V754" s="41"/>
      <c r="AI754" s="40"/>
    </row>
    <row r="755" spans="20:35" ht="15.75" customHeight="1" x14ac:dyDescent="0.25">
      <c r="T755" s="40"/>
      <c r="U755" s="40"/>
      <c r="V755" s="41"/>
      <c r="AI755" s="40"/>
    </row>
    <row r="756" spans="20:35" ht="15.75" customHeight="1" x14ac:dyDescent="0.25">
      <c r="T756" s="40"/>
      <c r="U756" s="40"/>
      <c r="V756" s="41"/>
      <c r="AI756" s="40"/>
    </row>
    <row r="757" spans="20:35" ht="15.75" customHeight="1" x14ac:dyDescent="0.25">
      <c r="T757" s="40"/>
      <c r="U757" s="40"/>
      <c r="V757" s="41"/>
      <c r="AI757" s="40"/>
    </row>
    <row r="758" spans="20:35" ht="15.75" customHeight="1" x14ac:dyDescent="0.25">
      <c r="T758" s="40"/>
      <c r="U758" s="40"/>
      <c r="V758" s="41"/>
      <c r="AI758" s="40"/>
    </row>
    <row r="759" spans="20:35" ht="15.75" customHeight="1" x14ac:dyDescent="0.25">
      <c r="T759" s="40"/>
      <c r="U759" s="40"/>
      <c r="V759" s="41"/>
      <c r="AI759" s="40"/>
    </row>
    <row r="760" spans="20:35" ht="15.75" customHeight="1" x14ac:dyDescent="0.25">
      <c r="T760" s="40"/>
      <c r="U760" s="40"/>
      <c r="V760" s="41"/>
      <c r="AI760" s="40"/>
    </row>
    <row r="761" spans="20:35" ht="15.75" customHeight="1" x14ac:dyDescent="0.25">
      <c r="T761" s="40"/>
      <c r="U761" s="40"/>
      <c r="V761" s="41"/>
      <c r="AI761" s="40"/>
    </row>
    <row r="762" spans="20:35" ht="15.75" customHeight="1" x14ac:dyDescent="0.25">
      <c r="T762" s="40"/>
      <c r="U762" s="40"/>
      <c r="V762" s="41"/>
      <c r="AI762" s="40"/>
    </row>
    <row r="763" spans="20:35" ht="15.75" customHeight="1" x14ac:dyDescent="0.25">
      <c r="T763" s="40"/>
      <c r="U763" s="40"/>
      <c r="V763" s="41"/>
      <c r="AI763" s="40"/>
    </row>
    <row r="764" spans="20:35" ht="15.75" customHeight="1" x14ac:dyDescent="0.25">
      <c r="T764" s="40"/>
      <c r="U764" s="40"/>
      <c r="V764" s="41"/>
      <c r="AI764" s="40"/>
    </row>
    <row r="765" spans="20:35" ht="15.75" customHeight="1" x14ac:dyDescent="0.25">
      <c r="T765" s="40"/>
      <c r="U765" s="40"/>
      <c r="V765" s="41"/>
      <c r="AI765" s="40"/>
    </row>
    <row r="766" spans="20:35" ht="15.75" customHeight="1" x14ac:dyDescent="0.25">
      <c r="T766" s="40"/>
      <c r="U766" s="40"/>
      <c r="V766" s="41"/>
      <c r="AI766" s="40"/>
    </row>
    <row r="767" spans="20:35" ht="15.75" customHeight="1" x14ac:dyDescent="0.25">
      <c r="T767" s="40"/>
      <c r="U767" s="40"/>
      <c r="V767" s="41"/>
      <c r="AI767" s="40"/>
    </row>
    <row r="768" spans="20:35" ht="15.75" customHeight="1" x14ac:dyDescent="0.25">
      <c r="T768" s="40"/>
      <c r="U768" s="40"/>
      <c r="V768" s="41"/>
      <c r="AI768" s="40"/>
    </row>
    <row r="769" spans="20:35" ht="15.75" customHeight="1" x14ac:dyDescent="0.25">
      <c r="T769" s="40"/>
      <c r="U769" s="40"/>
      <c r="V769" s="41"/>
      <c r="AI769" s="40"/>
    </row>
    <row r="770" spans="20:35" ht="15.75" customHeight="1" x14ac:dyDescent="0.25">
      <c r="T770" s="40"/>
      <c r="U770" s="40"/>
      <c r="V770" s="41"/>
      <c r="AI770" s="40"/>
    </row>
    <row r="771" spans="20:35" ht="15.75" customHeight="1" x14ac:dyDescent="0.25">
      <c r="T771" s="40"/>
      <c r="U771" s="40"/>
      <c r="V771" s="41"/>
      <c r="AI771" s="40"/>
    </row>
    <row r="772" spans="20:35" ht="15.75" customHeight="1" x14ac:dyDescent="0.25">
      <c r="T772" s="40"/>
      <c r="U772" s="40"/>
      <c r="V772" s="41"/>
      <c r="AI772" s="40"/>
    </row>
    <row r="773" spans="20:35" ht="15.75" customHeight="1" x14ac:dyDescent="0.25">
      <c r="T773" s="40"/>
      <c r="U773" s="40"/>
      <c r="V773" s="41"/>
      <c r="AI773" s="40"/>
    </row>
    <row r="774" spans="20:35" ht="15.75" customHeight="1" x14ac:dyDescent="0.25">
      <c r="T774" s="40"/>
      <c r="U774" s="40"/>
      <c r="V774" s="41"/>
      <c r="AI774" s="40"/>
    </row>
    <row r="775" spans="20:35" ht="15.75" customHeight="1" x14ac:dyDescent="0.25">
      <c r="T775" s="40"/>
      <c r="U775" s="40"/>
      <c r="V775" s="41"/>
      <c r="AI775" s="40"/>
    </row>
    <row r="776" spans="20:35" ht="15.75" customHeight="1" x14ac:dyDescent="0.25">
      <c r="T776" s="40"/>
      <c r="U776" s="40"/>
      <c r="V776" s="41"/>
      <c r="AI776" s="40"/>
    </row>
    <row r="777" spans="20:35" ht="15.75" customHeight="1" x14ac:dyDescent="0.25">
      <c r="T777" s="40"/>
      <c r="U777" s="40"/>
      <c r="V777" s="41"/>
      <c r="AI777" s="40"/>
    </row>
    <row r="778" spans="20:35" ht="15.75" customHeight="1" x14ac:dyDescent="0.25">
      <c r="T778" s="40"/>
      <c r="U778" s="40"/>
      <c r="V778" s="41"/>
      <c r="AI778" s="40"/>
    </row>
    <row r="779" spans="20:35" ht="15.75" customHeight="1" x14ac:dyDescent="0.25">
      <c r="T779" s="40"/>
      <c r="U779" s="40"/>
      <c r="V779" s="41"/>
      <c r="AI779" s="40"/>
    </row>
    <row r="780" spans="20:35" ht="15.75" customHeight="1" x14ac:dyDescent="0.25">
      <c r="T780" s="40"/>
      <c r="U780" s="40"/>
      <c r="V780" s="41"/>
      <c r="AI780" s="40"/>
    </row>
    <row r="781" spans="20:35" ht="15.75" customHeight="1" x14ac:dyDescent="0.25">
      <c r="T781" s="40"/>
      <c r="U781" s="40"/>
      <c r="V781" s="41"/>
      <c r="AI781" s="40"/>
    </row>
    <row r="782" spans="20:35" ht="15.75" customHeight="1" x14ac:dyDescent="0.25">
      <c r="T782" s="40"/>
      <c r="U782" s="40"/>
      <c r="V782" s="41"/>
      <c r="AI782" s="40"/>
    </row>
    <row r="783" spans="20:35" ht="15.75" customHeight="1" x14ac:dyDescent="0.25">
      <c r="T783" s="40"/>
      <c r="U783" s="40"/>
      <c r="V783" s="41"/>
      <c r="AI783" s="40"/>
    </row>
    <row r="784" spans="20:35" ht="15.75" customHeight="1" x14ac:dyDescent="0.25">
      <c r="T784" s="40"/>
      <c r="U784" s="40"/>
      <c r="V784" s="41"/>
      <c r="AI784" s="40"/>
    </row>
    <row r="785" spans="20:35" ht="15.75" customHeight="1" x14ac:dyDescent="0.25">
      <c r="T785" s="40"/>
      <c r="U785" s="40"/>
      <c r="V785" s="41"/>
      <c r="AI785" s="40"/>
    </row>
    <row r="786" spans="20:35" ht="15.75" customHeight="1" x14ac:dyDescent="0.25">
      <c r="T786" s="40"/>
      <c r="U786" s="40"/>
      <c r="V786" s="41"/>
      <c r="AI786" s="40"/>
    </row>
    <row r="787" spans="20:35" ht="15.75" customHeight="1" x14ac:dyDescent="0.25">
      <c r="T787" s="40"/>
      <c r="U787" s="40"/>
      <c r="V787" s="41"/>
      <c r="AI787" s="40"/>
    </row>
    <row r="788" spans="20:35" ht="15.75" customHeight="1" x14ac:dyDescent="0.25">
      <c r="T788" s="40"/>
      <c r="U788" s="40"/>
      <c r="V788" s="41"/>
      <c r="AI788" s="40"/>
    </row>
    <row r="789" spans="20:35" ht="15.75" customHeight="1" x14ac:dyDescent="0.25">
      <c r="T789" s="40"/>
      <c r="U789" s="40"/>
      <c r="V789" s="41"/>
      <c r="AI789" s="40"/>
    </row>
    <row r="790" spans="20:35" ht="15.75" customHeight="1" x14ac:dyDescent="0.25">
      <c r="T790" s="40"/>
      <c r="U790" s="40"/>
      <c r="V790" s="41"/>
      <c r="AI790" s="40"/>
    </row>
    <row r="791" spans="20:35" ht="15.75" customHeight="1" x14ac:dyDescent="0.25">
      <c r="T791" s="40"/>
      <c r="U791" s="40"/>
      <c r="V791" s="41"/>
      <c r="AI791" s="40"/>
    </row>
    <row r="792" spans="20:35" ht="15.75" customHeight="1" x14ac:dyDescent="0.25">
      <c r="T792" s="40"/>
      <c r="U792" s="40"/>
      <c r="V792" s="41"/>
      <c r="AI792" s="40"/>
    </row>
    <row r="793" spans="20:35" ht="15.75" customHeight="1" x14ac:dyDescent="0.25">
      <c r="T793" s="40"/>
      <c r="U793" s="40"/>
      <c r="V793" s="41"/>
      <c r="AI793" s="40"/>
    </row>
    <row r="794" spans="20:35" ht="15.75" customHeight="1" x14ac:dyDescent="0.25">
      <c r="T794" s="40"/>
      <c r="U794" s="40"/>
      <c r="V794" s="41"/>
      <c r="AI794" s="40"/>
    </row>
    <row r="795" spans="20:35" ht="15.75" customHeight="1" x14ac:dyDescent="0.25">
      <c r="T795" s="40"/>
      <c r="U795" s="40"/>
      <c r="V795" s="41"/>
      <c r="AI795" s="40"/>
    </row>
    <row r="796" spans="20:35" ht="15.75" customHeight="1" x14ac:dyDescent="0.25">
      <c r="T796" s="40"/>
      <c r="U796" s="40"/>
      <c r="V796" s="41"/>
      <c r="AI796" s="40"/>
    </row>
    <row r="797" spans="20:35" ht="15.75" customHeight="1" x14ac:dyDescent="0.25">
      <c r="T797" s="40"/>
      <c r="U797" s="40"/>
      <c r="V797" s="41"/>
      <c r="AI797" s="40"/>
    </row>
    <row r="798" spans="20:35" ht="15.75" customHeight="1" x14ac:dyDescent="0.25">
      <c r="T798" s="40"/>
      <c r="U798" s="40"/>
      <c r="V798" s="41"/>
      <c r="AI798" s="40"/>
    </row>
    <row r="799" spans="20:35" ht="15.75" customHeight="1" x14ac:dyDescent="0.25">
      <c r="T799" s="40"/>
      <c r="U799" s="40"/>
      <c r="V799" s="41"/>
      <c r="AI799" s="40"/>
    </row>
    <row r="800" spans="20:35" ht="15.75" customHeight="1" x14ac:dyDescent="0.25">
      <c r="T800" s="40"/>
      <c r="U800" s="40"/>
      <c r="V800" s="41"/>
      <c r="AI800" s="40"/>
    </row>
    <row r="801" spans="20:35" ht="15.75" customHeight="1" x14ac:dyDescent="0.25">
      <c r="T801" s="40"/>
      <c r="U801" s="40"/>
      <c r="V801" s="41"/>
      <c r="AI801" s="40"/>
    </row>
    <row r="802" spans="20:35" ht="15.75" customHeight="1" x14ac:dyDescent="0.25">
      <c r="T802" s="40"/>
      <c r="U802" s="40"/>
      <c r="V802" s="41"/>
      <c r="AI802" s="40"/>
    </row>
    <row r="803" spans="20:35" ht="15.75" customHeight="1" x14ac:dyDescent="0.25">
      <c r="T803" s="40"/>
      <c r="U803" s="40"/>
      <c r="V803" s="41"/>
      <c r="AI803" s="40"/>
    </row>
    <row r="804" spans="20:35" ht="15.75" customHeight="1" x14ac:dyDescent="0.25">
      <c r="T804" s="40"/>
      <c r="U804" s="40"/>
      <c r="V804" s="41"/>
      <c r="AI804" s="40"/>
    </row>
    <row r="805" spans="20:35" ht="15.75" customHeight="1" x14ac:dyDescent="0.25">
      <c r="T805" s="40"/>
      <c r="U805" s="40"/>
      <c r="V805" s="41"/>
      <c r="AI805" s="40"/>
    </row>
    <row r="806" spans="20:35" ht="15.75" customHeight="1" x14ac:dyDescent="0.25">
      <c r="T806" s="40"/>
      <c r="U806" s="40"/>
      <c r="V806" s="41"/>
      <c r="AI806" s="40"/>
    </row>
    <row r="807" spans="20:35" ht="15.75" customHeight="1" x14ac:dyDescent="0.25">
      <c r="T807" s="40"/>
      <c r="U807" s="40"/>
      <c r="V807" s="41"/>
      <c r="AI807" s="40"/>
    </row>
    <row r="808" spans="20:35" ht="15.75" customHeight="1" x14ac:dyDescent="0.25">
      <c r="T808" s="40"/>
      <c r="U808" s="40"/>
      <c r="V808" s="41"/>
      <c r="AI808" s="40"/>
    </row>
    <row r="809" spans="20:35" ht="15.75" customHeight="1" x14ac:dyDescent="0.25">
      <c r="T809" s="40"/>
      <c r="U809" s="40"/>
      <c r="V809" s="41"/>
      <c r="AI809" s="40"/>
    </row>
    <row r="810" spans="20:35" ht="15.75" customHeight="1" x14ac:dyDescent="0.25">
      <c r="T810" s="40"/>
      <c r="U810" s="40"/>
      <c r="V810" s="41"/>
      <c r="AI810" s="40"/>
    </row>
    <row r="811" spans="20:35" ht="15.75" customHeight="1" x14ac:dyDescent="0.25">
      <c r="T811" s="40"/>
      <c r="U811" s="40"/>
      <c r="V811" s="41"/>
      <c r="AI811" s="40"/>
    </row>
    <row r="812" spans="20:35" ht="15.75" customHeight="1" x14ac:dyDescent="0.25">
      <c r="T812" s="40"/>
      <c r="U812" s="40"/>
      <c r="V812" s="41"/>
      <c r="AI812" s="40"/>
    </row>
    <row r="813" spans="20:35" ht="15.75" customHeight="1" x14ac:dyDescent="0.25">
      <c r="T813" s="40"/>
      <c r="U813" s="40"/>
      <c r="V813" s="41"/>
      <c r="AI813" s="40"/>
    </row>
    <row r="814" spans="20:35" ht="15.75" customHeight="1" x14ac:dyDescent="0.25">
      <c r="T814" s="40"/>
      <c r="U814" s="40"/>
      <c r="V814" s="41"/>
      <c r="AI814" s="40"/>
    </row>
    <row r="815" spans="20:35" ht="15.75" customHeight="1" x14ac:dyDescent="0.25">
      <c r="T815" s="40"/>
      <c r="U815" s="40"/>
      <c r="V815" s="41"/>
      <c r="AI815" s="40"/>
    </row>
    <row r="816" spans="20:35" ht="15.75" customHeight="1" x14ac:dyDescent="0.25">
      <c r="T816" s="40"/>
      <c r="U816" s="40"/>
      <c r="V816" s="41"/>
      <c r="AI816" s="40"/>
    </row>
    <row r="817" spans="20:35" ht="15.75" customHeight="1" x14ac:dyDescent="0.25">
      <c r="T817" s="40"/>
      <c r="U817" s="40"/>
      <c r="V817" s="41"/>
      <c r="AI817" s="40"/>
    </row>
    <row r="818" spans="20:35" ht="15.75" customHeight="1" x14ac:dyDescent="0.25">
      <c r="T818" s="40"/>
      <c r="U818" s="40"/>
      <c r="V818" s="41"/>
      <c r="AI818" s="40"/>
    </row>
    <row r="819" spans="20:35" ht="15.75" customHeight="1" x14ac:dyDescent="0.25">
      <c r="T819" s="40"/>
      <c r="U819" s="40"/>
      <c r="V819" s="41"/>
      <c r="AI819" s="40"/>
    </row>
    <row r="820" spans="20:35" ht="15.75" customHeight="1" x14ac:dyDescent="0.25">
      <c r="T820" s="40"/>
      <c r="U820" s="40"/>
      <c r="V820" s="41"/>
      <c r="AI820" s="40"/>
    </row>
    <row r="821" spans="20:35" ht="15.75" customHeight="1" x14ac:dyDescent="0.25">
      <c r="T821" s="40"/>
      <c r="U821" s="40"/>
      <c r="V821" s="41"/>
      <c r="AI821" s="40"/>
    </row>
    <row r="822" spans="20:35" ht="15.75" customHeight="1" x14ac:dyDescent="0.25">
      <c r="T822" s="40"/>
      <c r="U822" s="40"/>
      <c r="V822" s="41"/>
      <c r="AI822" s="40"/>
    </row>
    <row r="823" spans="20:35" ht="15.75" customHeight="1" x14ac:dyDescent="0.25">
      <c r="T823" s="40"/>
      <c r="U823" s="40"/>
      <c r="V823" s="41"/>
      <c r="AI823" s="40"/>
    </row>
    <row r="824" spans="20:35" ht="15.75" customHeight="1" x14ac:dyDescent="0.25">
      <c r="T824" s="40"/>
      <c r="U824" s="40"/>
      <c r="V824" s="41"/>
      <c r="AI824" s="40"/>
    </row>
    <row r="825" spans="20:35" ht="15.75" customHeight="1" x14ac:dyDescent="0.25">
      <c r="T825" s="40"/>
      <c r="U825" s="40"/>
      <c r="V825" s="41"/>
      <c r="AI825" s="40"/>
    </row>
    <row r="826" spans="20:35" ht="15.75" customHeight="1" x14ac:dyDescent="0.25">
      <c r="T826" s="40"/>
      <c r="U826" s="40"/>
      <c r="V826" s="41"/>
      <c r="AI826" s="40"/>
    </row>
    <row r="827" spans="20:35" ht="15.75" customHeight="1" x14ac:dyDescent="0.25">
      <c r="T827" s="40"/>
      <c r="U827" s="40"/>
      <c r="V827" s="41"/>
      <c r="AI827" s="40"/>
    </row>
    <row r="828" spans="20:35" ht="15.75" customHeight="1" x14ac:dyDescent="0.25">
      <c r="T828" s="40"/>
      <c r="U828" s="40"/>
      <c r="V828" s="41"/>
      <c r="AI828" s="40"/>
    </row>
    <row r="829" spans="20:35" ht="15.75" customHeight="1" x14ac:dyDescent="0.25">
      <c r="T829" s="40"/>
      <c r="U829" s="40"/>
      <c r="V829" s="41"/>
      <c r="AI829" s="40"/>
    </row>
    <row r="830" spans="20:35" ht="15.75" customHeight="1" x14ac:dyDescent="0.25">
      <c r="T830" s="40"/>
      <c r="U830" s="40"/>
      <c r="V830" s="41"/>
      <c r="AI830" s="40"/>
    </row>
    <row r="831" spans="20:35" ht="15.75" customHeight="1" x14ac:dyDescent="0.25">
      <c r="T831" s="40"/>
      <c r="U831" s="40"/>
      <c r="V831" s="41"/>
      <c r="AI831" s="40"/>
    </row>
    <row r="832" spans="20:35" ht="15.75" customHeight="1" x14ac:dyDescent="0.25">
      <c r="T832" s="40"/>
      <c r="U832" s="40"/>
      <c r="V832" s="41"/>
      <c r="AI832" s="40"/>
    </row>
    <row r="833" spans="20:35" ht="15.75" customHeight="1" x14ac:dyDescent="0.25">
      <c r="T833" s="40"/>
      <c r="U833" s="40"/>
      <c r="V833" s="41"/>
      <c r="AI833" s="40"/>
    </row>
    <row r="834" spans="20:35" ht="15.75" customHeight="1" x14ac:dyDescent="0.25">
      <c r="T834" s="40"/>
      <c r="U834" s="40"/>
      <c r="V834" s="41"/>
      <c r="AI834" s="40"/>
    </row>
    <row r="835" spans="20:35" ht="15.75" customHeight="1" x14ac:dyDescent="0.25">
      <c r="T835" s="40"/>
      <c r="U835" s="40"/>
      <c r="V835" s="41"/>
      <c r="AI835" s="40"/>
    </row>
    <row r="836" spans="20:35" ht="15.75" customHeight="1" x14ac:dyDescent="0.25">
      <c r="T836" s="40"/>
      <c r="U836" s="40"/>
      <c r="V836" s="41"/>
      <c r="AI836" s="40"/>
    </row>
    <row r="837" spans="20:35" ht="15.75" customHeight="1" x14ac:dyDescent="0.25">
      <c r="T837" s="40"/>
      <c r="U837" s="40"/>
      <c r="V837" s="41"/>
      <c r="AI837" s="40"/>
    </row>
    <row r="838" spans="20:35" ht="15.75" customHeight="1" x14ac:dyDescent="0.25">
      <c r="T838" s="40"/>
      <c r="U838" s="40"/>
      <c r="V838" s="41"/>
      <c r="AI838" s="40"/>
    </row>
    <row r="839" spans="20:35" ht="15.75" customHeight="1" x14ac:dyDescent="0.25">
      <c r="T839" s="40"/>
      <c r="U839" s="40"/>
      <c r="V839" s="41"/>
      <c r="AI839" s="40"/>
    </row>
    <row r="840" spans="20:35" ht="15.75" customHeight="1" x14ac:dyDescent="0.25">
      <c r="T840" s="40"/>
      <c r="U840" s="40"/>
      <c r="V840" s="41"/>
      <c r="AI840" s="40"/>
    </row>
    <row r="841" spans="20:35" ht="15.75" customHeight="1" x14ac:dyDescent="0.25">
      <c r="T841" s="40"/>
      <c r="U841" s="40"/>
      <c r="V841" s="41"/>
      <c r="AI841" s="40"/>
    </row>
    <row r="842" spans="20:35" ht="15.75" customHeight="1" x14ac:dyDescent="0.25">
      <c r="T842" s="40"/>
      <c r="U842" s="40"/>
      <c r="V842" s="41"/>
      <c r="AI842" s="40"/>
    </row>
    <row r="843" spans="20:35" ht="15.75" customHeight="1" x14ac:dyDescent="0.25">
      <c r="T843" s="40"/>
      <c r="U843" s="40"/>
      <c r="V843" s="41"/>
      <c r="AI843" s="40"/>
    </row>
    <row r="844" spans="20:35" ht="15.75" customHeight="1" x14ac:dyDescent="0.25">
      <c r="T844" s="40"/>
      <c r="U844" s="40"/>
      <c r="V844" s="41"/>
      <c r="AI844" s="40"/>
    </row>
    <row r="845" spans="20:35" ht="15.75" customHeight="1" x14ac:dyDescent="0.25">
      <c r="T845" s="40"/>
      <c r="U845" s="40"/>
      <c r="V845" s="41"/>
      <c r="AI845" s="40"/>
    </row>
    <row r="846" spans="20:35" ht="15.75" customHeight="1" x14ac:dyDescent="0.25">
      <c r="T846" s="40"/>
      <c r="U846" s="40"/>
      <c r="V846" s="41"/>
      <c r="AI846" s="40"/>
    </row>
    <row r="847" spans="20:35" ht="15.75" customHeight="1" x14ac:dyDescent="0.25">
      <c r="T847" s="40"/>
      <c r="U847" s="40"/>
      <c r="V847" s="41"/>
      <c r="AI847" s="40"/>
    </row>
    <row r="848" spans="20:35" ht="15.75" customHeight="1" x14ac:dyDescent="0.25">
      <c r="T848" s="40"/>
      <c r="U848" s="40"/>
      <c r="V848" s="41"/>
      <c r="AI848" s="40"/>
    </row>
    <row r="849" spans="20:35" ht="15.75" customHeight="1" x14ac:dyDescent="0.25">
      <c r="T849" s="40"/>
      <c r="U849" s="40"/>
      <c r="V849" s="41"/>
      <c r="AI849" s="40"/>
    </row>
    <row r="850" spans="20:35" ht="15.75" customHeight="1" x14ac:dyDescent="0.25">
      <c r="T850" s="40"/>
      <c r="U850" s="40"/>
      <c r="V850" s="41"/>
      <c r="AI850" s="40"/>
    </row>
    <row r="851" spans="20:35" ht="15.75" customHeight="1" x14ac:dyDescent="0.25">
      <c r="T851" s="40"/>
      <c r="U851" s="40"/>
      <c r="V851" s="41"/>
      <c r="AI851" s="40"/>
    </row>
    <row r="852" spans="20:35" ht="15.75" customHeight="1" x14ac:dyDescent="0.25">
      <c r="T852" s="40"/>
      <c r="U852" s="40"/>
      <c r="V852" s="41"/>
      <c r="AI852" s="40"/>
    </row>
    <row r="853" spans="20:35" ht="15.75" customHeight="1" x14ac:dyDescent="0.25">
      <c r="T853" s="40"/>
      <c r="U853" s="40"/>
      <c r="V853" s="41"/>
      <c r="AI853" s="40"/>
    </row>
    <row r="854" spans="20:35" ht="15.75" customHeight="1" x14ac:dyDescent="0.25">
      <c r="T854" s="40"/>
      <c r="U854" s="40"/>
      <c r="V854" s="41"/>
      <c r="AI854" s="40"/>
    </row>
    <row r="855" spans="20:35" ht="15.75" customHeight="1" x14ac:dyDescent="0.25">
      <c r="T855" s="40"/>
      <c r="U855" s="40"/>
      <c r="V855" s="41"/>
      <c r="AI855" s="40"/>
    </row>
    <row r="856" spans="20:35" ht="15.75" customHeight="1" x14ac:dyDescent="0.25">
      <c r="T856" s="40"/>
      <c r="U856" s="40"/>
      <c r="V856" s="41"/>
      <c r="AI856" s="40"/>
    </row>
    <row r="857" spans="20:35" ht="15.75" customHeight="1" x14ac:dyDescent="0.25">
      <c r="T857" s="40"/>
      <c r="U857" s="40"/>
      <c r="V857" s="41"/>
      <c r="AI857" s="40"/>
    </row>
    <row r="858" spans="20:35" ht="15.75" customHeight="1" x14ac:dyDescent="0.25">
      <c r="T858" s="40"/>
      <c r="U858" s="40"/>
      <c r="V858" s="41"/>
      <c r="AI858" s="40"/>
    </row>
    <row r="859" spans="20:35" ht="15.75" customHeight="1" x14ac:dyDescent="0.25">
      <c r="T859" s="40"/>
      <c r="U859" s="40"/>
      <c r="V859" s="41"/>
      <c r="AI859" s="40"/>
    </row>
    <row r="860" spans="20:35" ht="15.75" customHeight="1" x14ac:dyDescent="0.25">
      <c r="T860" s="40"/>
      <c r="U860" s="40"/>
      <c r="V860" s="41"/>
      <c r="AI860" s="40"/>
    </row>
    <row r="861" spans="20:35" ht="15.75" customHeight="1" x14ac:dyDescent="0.25">
      <c r="T861" s="40"/>
      <c r="U861" s="40"/>
      <c r="V861" s="41"/>
      <c r="AI861" s="40"/>
    </row>
    <row r="862" spans="20:35" ht="15.75" customHeight="1" x14ac:dyDescent="0.25">
      <c r="T862" s="40"/>
      <c r="U862" s="40"/>
      <c r="V862" s="41"/>
      <c r="AI862" s="40"/>
    </row>
    <row r="863" spans="20:35" ht="15.75" customHeight="1" x14ac:dyDescent="0.25">
      <c r="T863" s="40"/>
      <c r="U863" s="40"/>
      <c r="V863" s="41"/>
      <c r="AI863" s="40"/>
    </row>
    <row r="864" spans="20:35" ht="15.75" customHeight="1" x14ac:dyDescent="0.25">
      <c r="T864" s="40"/>
      <c r="U864" s="40"/>
      <c r="V864" s="41"/>
      <c r="AI864" s="40"/>
    </row>
    <row r="865" spans="20:35" ht="15.75" customHeight="1" x14ac:dyDescent="0.25">
      <c r="T865" s="40"/>
      <c r="U865" s="40"/>
      <c r="V865" s="41"/>
      <c r="AI865" s="40"/>
    </row>
    <row r="866" spans="20:35" ht="15.75" customHeight="1" x14ac:dyDescent="0.25">
      <c r="T866" s="40"/>
      <c r="U866" s="40"/>
      <c r="V866" s="41"/>
      <c r="AI866" s="40"/>
    </row>
    <row r="867" spans="20:35" ht="15.75" customHeight="1" x14ac:dyDescent="0.25">
      <c r="T867" s="40"/>
      <c r="U867" s="40"/>
      <c r="V867" s="41"/>
      <c r="AI867" s="40"/>
    </row>
    <row r="868" spans="20:35" ht="15.75" customHeight="1" x14ac:dyDescent="0.25">
      <c r="T868" s="40"/>
      <c r="U868" s="40"/>
      <c r="V868" s="41"/>
      <c r="AI868" s="40"/>
    </row>
    <row r="869" spans="20:35" ht="15.75" customHeight="1" x14ac:dyDescent="0.25">
      <c r="T869" s="40"/>
      <c r="U869" s="40"/>
      <c r="V869" s="41"/>
      <c r="AI869" s="40"/>
    </row>
    <row r="870" spans="20:35" ht="15.75" customHeight="1" x14ac:dyDescent="0.25">
      <c r="T870" s="40"/>
      <c r="U870" s="40"/>
      <c r="V870" s="41"/>
      <c r="AI870" s="40"/>
    </row>
    <row r="871" spans="20:35" ht="15.75" customHeight="1" x14ac:dyDescent="0.25">
      <c r="T871" s="40"/>
      <c r="U871" s="40"/>
      <c r="V871" s="41"/>
      <c r="AI871" s="40"/>
    </row>
    <row r="872" spans="20:35" ht="15.75" customHeight="1" x14ac:dyDescent="0.25">
      <c r="T872" s="40"/>
      <c r="U872" s="40"/>
      <c r="V872" s="41"/>
      <c r="AI872" s="40"/>
    </row>
    <row r="873" spans="20:35" ht="15.75" customHeight="1" x14ac:dyDescent="0.25">
      <c r="T873" s="40"/>
      <c r="U873" s="40"/>
      <c r="V873" s="41"/>
      <c r="AI873" s="40"/>
    </row>
    <row r="874" spans="20:35" ht="15.75" customHeight="1" x14ac:dyDescent="0.25">
      <c r="T874" s="40"/>
      <c r="U874" s="40"/>
      <c r="V874" s="41"/>
      <c r="AI874" s="40"/>
    </row>
    <row r="875" spans="20:35" ht="15.75" customHeight="1" x14ac:dyDescent="0.25">
      <c r="T875" s="40"/>
      <c r="U875" s="40"/>
      <c r="V875" s="41"/>
      <c r="AI875" s="40"/>
    </row>
    <row r="876" spans="20:35" ht="15.75" customHeight="1" x14ac:dyDescent="0.25">
      <c r="T876" s="40"/>
      <c r="U876" s="40"/>
      <c r="V876" s="41"/>
      <c r="AI876" s="40"/>
    </row>
    <row r="877" spans="20:35" ht="15.75" customHeight="1" x14ac:dyDescent="0.25">
      <c r="T877" s="40"/>
      <c r="U877" s="40"/>
      <c r="V877" s="41"/>
      <c r="AI877" s="40"/>
    </row>
    <row r="878" spans="20:35" ht="15.75" customHeight="1" x14ac:dyDescent="0.25">
      <c r="T878" s="40"/>
      <c r="U878" s="40"/>
      <c r="V878" s="41"/>
      <c r="AI878" s="40"/>
    </row>
    <row r="879" spans="20:35" ht="15.75" customHeight="1" x14ac:dyDescent="0.25">
      <c r="T879" s="40"/>
      <c r="U879" s="40"/>
      <c r="V879" s="41"/>
      <c r="AI879" s="40"/>
    </row>
    <row r="880" spans="20:35" ht="15.75" customHeight="1" x14ac:dyDescent="0.25">
      <c r="T880" s="40"/>
      <c r="U880" s="40"/>
      <c r="V880" s="41"/>
      <c r="AI880" s="40"/>
    </row>
    <row r="881" spans="20:35" ht="15.75" customHeight="1" x14ac:dyDescent="0.25">
      <c r="T881" s="40"/>
      <c r="U881" s="40"/>
      <c r="V881" s="41"/>
      <c r="AI881" s="40"/>
    </row>
    <row r="882" spans="20:35" ht="15.75" customHeight="1" x14ac:dyDescent="0.25">
      <c r="T882" s="40"/>
      <c r="U882" s="40"/>
      <c r="V882" s="41"/>
      <c r="AI882" s="40"/>
    </row>
    <row r="883" spans="20:35" ht="15.75" customHeight="1" x14ac:dyDescent="0.25">
      <c r="T883" s="40"/>
      <c r="U883" s="40"/>
      <c r="V883" s="41"/>
      <c r="AI883" s="40"/>
    </row>
    <row r="884" spans="20:35" ht="15.75" customHeight="1" x14ac:dyDescent="0.25">
      <c r="T884" s="40"/>
      <c r="U884" s="40"/>
      <c r="V884" s="41"/>
      <c r="AI884" s="40"/>
    </row>
    <row r="885" spans="20:35" ht="15.75" customHeight="1" x14ac:dyDescent="0.25">
      <c r="T885" s="40"/>
      <c r="U885" s="40"/>
      <c r="V885" s="41"/>
      <c r="AI885" s="40"/>
    </row>
    <row r="886" spans="20:35" ht="15.75" customHeight="1" x14ac:dyDescent="0.25">
      <c r="T886" s="40"/>
      <c r="U886" s="40"/>
      <c r="V886" s="41"/>
      <c r="AI886" s="40"/>
    </row>
    <row r="887" spans="20:35" ht="15.75" customHeight="1" x14ac:dyDescent="0.25">
      <c r="T887" s="40"/>
      <c r="U887" s="40"/>
      <c r="V887" s="41"/>
      <c r="AI887" s="40"/>
    </row>
    <row r="888" spans="20:35" ht="15.75" customHeight="1" x14ac:dyDescent="0.25">
      <c r="T888" s="40"/>
      <c r="U888" s="40"/>
      <c r="V888" s="41"/>
      <c r="AI888" s="40"/>
    </row>
    <row r="889" spans="20:35" ht="15.75" customHeight="1" x14ac:dyDescent="0.25">
      <c r="T889" s="40"/>
      <c r="U889" s="40"/>
      <c r="V889" s="41"/>
      <c r="AI889" s="40"/>
    </row>
    <row r="890" spans="20:35" ht="15.75" customHeight="1" x14ac:dyDescent="0.25">
      <c r="T890" s="40"/>
      <c r="U890" s="40"/>
      <c r="V890" s="41"/>
      <c r="AI890" s="40"/>
    </row>
    <row r="891" spans="20:35" ht="15.75" customHeight="1" x14ac:dyDescent="0.25">
      <c r="T891" s="40"/>
      <c r="U891" s="40"/>
      <c r="V891" s="41"/>
      <c r="AI891" s="40"/>
    </row>
    <row r="892" spans="20:35" ht="15.75" customHeight="1" x14ac:dyDescent="0.25">
      <c r="T892" s="40"/>
      <c r="U892" s="40"/>
      <c r="V892" s="41"/>
      <c r="AI892" s="40"/>
    </row>
    <row r="893" spans="20:35" ht="15.75" customHeight="1" x14ac:dyDescent="0.25">
      <c r="T893" s="40"/>
      <c r="U893" s="40"/>
      <c r="V893" s="41"/>
      <c r="AI893" s="40"/>
    </row>
    <row r="894" spans="20:35" ht="15.75" customHeight="1" x14ac:dyDescent="0.25">
      <c r="T894" s="40"/>
      <c r="U894" s="40"/>
      <c r="V894" s="41"/>
      <c r="AI894" s="40"/>
    </row>
    <row r="895" spans="20:35" ht="15.75" customHeight="1" x14ac:dyDescent="0.25">
      <c r="T895" s="40"/>
      <c r="U895" s="40"/>
      <c r="V895" s="41"/>
      <c r="AI895" s="40"/>
    </row>
    <row r="896" spans="20:35" ht="15.75" customHeight="1" x14ac:dyDescent="0.25">
      <c r="T896" s="40"/>
      <c r="U896" s="40"/>
      <c r="V896" s="41"/>
      <c r="AI896" s="40"/>
    </row>
    <row r="897" spans="20:35" ht="15.75" customHeight="1" x14ac:dyDescent="0.25">
      <c r="T897" s="40"/>
      <c r="U897" s="40"/>
      <c r="V897" s="41"/>
      <c r="AI897" s="40"/>
    </row>
    <row r="898" spans="20:35" ht="15.75" customHeight="1" x14ac:dyDescent="0.25">
      <c r="T898" s="40"/>
      <c r="U898" s="40"/>
      <c r="V898" s="41"/>
      <c r="AI898" s="40"/>
    </row>
    <row r="899" spans="20:35" ht="15.75" customHeight="1" x14ac:dyDescent="0.25">
      <c r="T899" s="40"/>
      <c r="U899" s="40"/>
      <c r="V899" s="41"/>
      <c r="AI899" s="40"/>
    </row>
    <row r="900" spans="20:35" ht="15.75" customHeight="1" x14ac:dyDescent="0.25">
      <c r="T900" s="40"/>
      <c r="U900" s="40"/>
      <c r="V900" s="41"/>
      <c r="AI900" s="40"/>
    </row>
    <row r="901" spans="20:35" ht="15.75" customHeight="1" x14ac:dyDescent="0.25">
      <c r="T901" s="40"/>
      <c r="U901" s="40"/>
      <c r="V901" s="41"/>
      <c r="AI901" s="40"/>
    </row>
    <row r="902" spans="20:35" ht="15.75" customHeight="1" x14ac:dyDescent="0.25">
      <c r="T902" s="40"/>
      <c r="U902" s="40"/>
      <c r="V902" s="41"/>
      <c r="AI902" s="40"/>
    </row>
    <row r="903" spans="20:35" ht="15.75" customHeight="1" x14ac:dyDescent="0.25">
      <c r="T903" s="40"/>
      <c r="U903" s="40"/>
      <c r="V903" s="41"/>
      <c r="AI903" s="40"/>
    </row>
    <row r="904" spans="20:35" ht="15.75" customHeight="1" x14ac:dyDescent="0.25">
      <c r="T904" s="40"/>
      <c r="U904" s="40"/>
      <c r="V904" s="41"/>
      <c r="AI904" s="40"/>
    </row>
    <row r="905" spans="20:35" ht="15.75" customHeight="1" x14ac:dyDescent="0.25">
      <c r="T905" s="40"/>
      <c r="U905" s="40"/>
      <c r="V905" s="41"/>
      <c r="AI905" s="40"/>
    </row>
    <row r="906" spans="20:35" ht="15.75" customHeight="1" x14ac:dyDescent="0.25">
      <c r="T906" s="40"/>
      <c r="U906" s="40"/>
      <c r="V906" s="41"/>
      <c r="AI906" s="40"/>
    </row>
    <row r="907" spans="20:35" ht="15.75" customHeight="1" x14ac:dyDescent="0.25">
      <c r="T907" s="40"/>
      <c r="U907" s="40"/>
      <c r="V907" s="41"/>
      <c r="AI907" s="40"/>
    </row>
    <row r="908" spans="20:35" ht="15.75" customHeight="1" x14ac:dyDescent="0.25">
      <c r="T908" s="40"/>
      <c r="U908" s="40"/>
      <c r="V908" s="41"/>
      <c r="AI908" s="40"/>
    </row>
    <row r="909" spans="20:35" ht="15.75" customHeight="1" x14ac:dyDescent="0.25">
      <c r="T909" s="40"/>
      <c r="U909" s="40"/>
      <c r="V909" s="41"/>
      <c r="AI909" s="40"/>
    </row>
    <row r="910" spans="20:35" ht="15.75" customHeight="1" x14ac:dyDescent="0.25">
      <c r="T910" s="40"/>
      <c r="U910" s="40"/>
      <c r="V910" s="41"/>
      <c r="AI910" s="40"/>
    </row>
    <row r="911" spans="20:35" ht="15.75" customHeight="1" x14ac:dyDescent="0.25">
      <c r="T911" s="40"/>
      <c r="U911" s="40"/>
      <c r="V911" s="41"/>
      <c r="AI911" s="40"/>
    </row>
    <row r="912" spans="20:35" ht="15.75" customHeight="1" x14ac:dyDescent="0.25">
      <c r="T912" s="40"/>
      <c r="U912" s="40"/>
      <c r="V912" s="41"/>
      <c r="AI912" s="40"/>
    </row>
    <row r="913" spans="20:35" ht="15.75" customHeight="1" x14ac:dyDescent="0.25">
      <c r="T913" s="40"/>
      <c r="U913" s="40"/>
      <c r="V913" s="41"/>
      <c r="AI913" s="40"/>
    </row>
    <row r="914" spans="20:35" ht="15.75" customHeight="1" x14ac:dyDescent="0.25">
      <c r="T914" s="40"/>
      <c r="U914" s="40"/>
      <c r="V914" s="41"/>
      <c r="AI914" s="40"/>
    </row>
    <row r="915" spans="20:35" ht="15.75" customHeight="1" x14ac:dyDescent="0.25">
      <c r="T915" s="40"/>
      <c r="U915" s="40"/>
      <c r="V915" s="41"/>
      <c r="AI915" s="40"/>
    </row>
    <row r="916" spans="20:35" ht="15.75" customHeight="1" x14ac:dyDescent="0.25">
      <c r="T916" s="40"/>
      <c r="U916" s="40"/>
      <c r="V916" s="41"/>
      <c r="AI916" s="40"/>
    </row>
    <row r="917" spans="20:35" ht="15.75" customHeight="1" x14ac:dyDescent="0.25">
      <c r="T917" s="40"/>
      <c r="U917" s="40"/>
      <c r="V917" s="41"/>
      <c r="AI917" s="40"/>
    </row>
    <row r="918" spans="20:35" ht="15.75" customHeight="1" x14ac:dyDescent="0.25">
      <c r="T918" s="40"/>
      <c r="U918" s="40"/>
      <c r="V918" s="41"/>
      <c r="AI918" s="40"/>
    </row>
    <row r="919" spans="20:35" ht="15.75" customHeight="1" x14ac:dyDescent="0.25">
      <c r="T919" s="40"/>
      <c r="U919" s="40"/>
      <c r="V919" s="41"/>
      <c r="AI919" s="40"/>
    </row>
    <row r="920" spans="20:35" ht="15.75" customHeight="1" x14ac:dyDescent="0.25">
      <c r="T920" s="40"/>
      <c r="U920" s="40"/>
      <c r="V920" s="41"/>
      <c r="AI920" s="40"/>
    </row>
    <row r="921" spans="20:35" ht="15.75" customHeight="1" x14ac:dyDescent="0.25">
      <c r="T921" s="40"/>
      <c r="U921" s="40"/>
      <c r="V921" s="41"/>
      <c r="AI921" s="40"/>
    </row>
    <row r="922" spans="20:35" ht="15.75" customHeight="1" x14ac:dyDescent="0.25">
      <c r="T922" s="40"/>
      <c r="U922" s="40"/>
      <c r="V922" s="41"/>
      <c r="AI922" s="40"/>
    </row>
    <row r="923" spans="20:35" ht="15.75" customHeight="1" x14ac:dyDescent="0.25">
      <c r="T923" s="40"/>
      <c r="U923" s="40"/>
      <c r="V923" s="41"/>
      <c r="AI923" s="40"/>
    </row>
    <row r="924" spans="20:35" ht="15.75" customHeight="1" x14ac:dyDescent="0.25">
      <c r="T924" s="40"/>
      <c r="U924" s="40"/>
      <c r="V924" s="41"/>
      <c r="AI924" s="40"/>
    </row>
    <row r="925" spans="20:35" ht="15.75" customHeight="1" x14ac:dyDescent="0.25">
      <c r="T925" s="40"/>
      <c r="U925" s="40"/>
      <c r="V925" s="41"/>
      <c r="AI925" s="40"/>
    </row>
    <row r="926" spans="20:35" ht="15.75" customHeight="1" x14ac:dyDescent="0.25">
      <c r="T926" s="40"/>
      <c r="U926" s="40"/>
      <c r="V926" s="41"/>
      <c r="AI926" s="40"/>
    </row>
    <row r="927" spans="20:35" ht="15.75" customHeight="1" x14ac:dyDescent="0.25">
      <c r="T927" s="40"/>
      <c r="U927" s="40"/>
      <c r="V927" s="41"/>
      <c r="AI927" s="40"/>
    </row>
    <row r="928" spans="20:35" ht="15.75" customHeight="1" x14ac:dyDescent="0.25">
      <c r="T928" s="40"/>
      <c r="U928" s="40"/>
      <c r="V928" s="41"/>
      <c r="AI928" s="40"/>
    </row>
    <row r="929" spans="20:35" ht="15.75" customHeight="1" x14ac:dyDescent="0.25">
      <c r="T929" s="40"/>
      <c r="U929" s="40"/>
      <c r="V929" s="41"/>
      <c r="AI929" s="40"/>
    </row>
    <row r="930" spans="20:35" ht="15.75" customHeight="1" x14ac:dyDescent="0.25">
      <c r="T930" s="40"/>
      <c r="U930" s="40"/>
      <c r="V930" s="41"/>
      <c r="AI930" s="40"/>
    </row>
    <row r="931" spans="20:35" ht="15.75" customHeight="1" x14ac:dyDescent="0.25">
      <c r="T931" s="40"/>
      <c r="U931" s="40"/>
      <c r="V931" s="41"/>
      <c r="AI931" s="40"/>
    </row>
    <row r="932" spans="20:35" ht="15.75" customHeight="1" x14ac:dyDescent="0.25">
      <c r="T932" s="40"/>
      <c r="U932" s="40"/>
      <c r="V932" s="41"/>
      <c r="AI932" s="40"/>
    </row>
    <row r="933" spans="20:35" ht="15.75" customHeight="1" x14ac:dyDescent="0.25">
      <c r="T933" s="40"/>
      <c r="U933" s="40"/>
      <c r="V933" s="41"/>
      <c r="AI933" s="40"/>
    </row>
    <row r="934" spans="20:35" ht="15.75" customHeight="1" x14ac:dyDescent="0.25">
      <c r="T934" s="40"/>
      <c r="U934" s="40"/>
      <c r="V934" s="41"/>
      <c r="AI934" s="40"/>
    </row>
    <row r="935" spans="20:35" ht="15.75" customHeight="1" x14ac:dyDescent="0.25">
      <c r="T935" s="40"/>
      <c r="U935" s="40"/>
      <c r="V935" s="41"/>
      <c r="AI935" s="40"/>
    </row>
    <row r="936" spans="20:35" ht="15.75" customHeight="1" x14ac:dyDescent="0.25">
      <c r="T936" s="40"/>
      <c r="U936" s="40"/>
      <c r="V936" s="41"/>
      <c r="AI936" s="40"/>
    </row>
    <row r="937" spans="20:35" ht="15.75" customHeight="1" x14ac:dyDescent="0.25">
      <c r="T937" s="40"/>
      <c r="U937" s="40"/>
      <c r="V937" s="41"/>
      <c r="AI937" s="40"/>
    </row>
    <row r="938" spans="20:35" ht="15.75" customHeight="1" x14ac:dyDescent="0.25">
      <c r="T938" s="40"/>
      <c r="U938" s="40"/>
      <c r="V938" s="41"/>
      <c r="AI938" s="40"/>
    </row>
    <row r="939" spans="20:35" ht="15.75" customHeight="1" x14ac:dyDescent="0.25">
      <c r="T939" s="40"/>
      <c r="U939" s="40"/>
      <c r="V939" s="41"/>
      <c r="AI939" s="40"/>
    </row>
    <row r="940" spans="20:35" ht="15.75" customHeight="1" x14ac:dyDescent="0.25">
      <c r="T940" s="40"/>
      <c r="U940" s="40"/>
      <c r="V940" s="41"/>
      <c r="AI940" s="40"/>
    </row>
    <row r="941" spans="20:35" ht="15.75" customHeight="1" x14ac:dyDescent="0.25">
      <c r="T941" s="40"/>
      <c r="U941" s="40"/>
      <c r="V941" s="41"/>
      <c r="AI941" s="40"/>
    </row>
    <row r="942" spans="20:35" ht="15.75" customHeight="1" x14ac:dyDescent="0.25">
      <c r="T942" s="40"/>
      <c r="U942" s="40"/>
      <c r="V942" s="41"/>
      <c r="AI942" s="40"/>
    </row>
    <row r="943" spans="20:35" ht="15.75" customHeight="1" x14ac:dyDescent="0.25">
      <c r="T943" s="40"/>
      <c r="U943" s="40"/>
      <c r="V943" s="41"/>
      <c r="AI943" s="40"/>
    </row>
    <row r="944" spans="20:35" ht="15.75" customHeight="1" x14ac:dyDescent="0.25">
      <c r="T944" s="40"/>
      <c r="U944" s="40"/>
      <c r="V944" s="41"/>
      <c r="AI944" s="40"/>
    </row>
    <row r="945" spans="20:35" ht="15.75" customHeight="1" x14ac:dyDescent="0.25">
      <c r="T945" s="40"/>
      <c r="U945" s="40"/>
      <c r="V945" s="41"/>
      <c r="AI945" s="40"/>
    </row>
    <row r="946" spans="20:35" ht="15.75" customHeight="1" x14ac:dyDescent="0.25">
      <c r="T946" s="40"/>
      <c r="U946" s="40"/>
      <c r="V946" s="41"/>
      <c r="AI946" s="40"/>
    </row>
    <row r="947" spans="20:35" ht="15.75" customHeight="1" x14ac:dyDescent="0.25">
      <c r="T947" s="40"/>
      <c r="U947" s="40"/>
      <c r="V947" s="41"/>
      <c r="AI947" s="40"/>
    </row>
    <row r="948" spans="20:35" ht="15.75" customHeight="1" x14ac:dyDescent="0.25">
      <c r="T948" s="40"/>
      <c r="U948" s="40"/>
      <c r="V948" s="41"/>
      <c r="AI948" s="40"/>
    </row>
    <row r="949" spans="20:35" ht="15.75" customHeight="1" x14ac:dyDescent="0.25">
      <c r="T949" s="40"/>
      <c r="U949" s="40"/>
      <c r="V949" s="41"/>
      <c r="AI949" s="40"/>
    </row>
    <row r="950" spans="20:35" ht="15.75" customHeight="1" x14ac:dyDescent="0.25">
      <c r="T950" s="40"/>
      <c r="U950" s="40"/>
      <c r="V950" s="41"/>
      <c r="AI950" s="40"/>
    </row>
    <row r="951" spans="20:35" ht="15.75" customHeight="1" x14ac:dyDescent="0.25">
      <c r="T951" s="40"/>
      <c r="U951" s="40"/>
      <c r="V951" s="41"/>
      <c r="AI951" s="40"/>
    </row>
    <row r="952" spans="20:35" ht="15.75" customHeight="1" x14ac:dyDescent="0.25">
      <c r="T952" s="40"/>
      <c r="U952" s="40"/>
      <c r="V952" s="41"/>
      <c r="AI952" s="40"/>
    </row>
    <row r="953" spans="20:35" ht="15.75" customHeight="1" x14ac:dyDescent="0.25">
      <c r="T953" s="40"/>
      <c r="U953" s="40"/>
      <c r="V953" s="41"/>
      <c r="AI953" s="40"/>
    </row>
    <row r="954" spans="20:35" ht="15.75" customHeight="1" x14ac:dyDescent="0.25">
      <c r="T954" s="40"/>
      <c r="U954" s="40"/>
      <c r="V954" s="41"/>
      <c r="AI954" s="40"/>
    </row>
    <row r="955" spans="20:35" ht="15.75" customHeight="1" x14ac:dyDescent="0.25">
      <c r="T955" s="40"/>
      <c r="U955" s="40"/>
      <c r="V955" s="41"/>
      <c r="AI955" s="40"/>
    </row>
    <row r="956" spans="20:35" ht="15.75" customHeight="1" x14ac:dyDescent="0.25">
      <c r="T956" s="40"/>
      <c r="U956" s="40"/>
      <c r="V956" s="41"/>
      <c r="AI956" s="40"/>
    </row>
    <row r="957" spans="20:35" ht="15.75" customHeight="1" x14ac:dyDescent="0.25">
      <c r="T957" s="40"/>
      <c r="U957" s="40"/>
      <c r="V957" s="41"/>
      <c r="AI957" s="40"/>
    </row>
    <row r="958" spans="20:35" ht="15.75" customHeight="1" x14ac:dyDescent="0.25">
      <c r="T958" s="40"/>
      <c r="U958" s="40"/>
      <c r="V958" s="41"/>
      <c r="AI958" s="40"/>
    </row>
    <row r="959" spans="20:35" ht="15.75" customHeight="1" x14ac:dyDescent="0.25">
      <c r="T959" s="40"/>
      <c r="U959" s="40"/>
      <c r="V959" s="41"/>
      <c r="AI959" s="40"/>
    </row>
    <row r="960" spans="20:35" ht="15.75" customHeight="1" x14ac:dyDescent="0.25">
      <c r="T960" s="40"/>
      <c r="U960" s="40"/>
      <c r="V960" s="41"/>
      <c r="AI960" s="40"/>
    </row>
    <row r="961" spans="20:35" ht="15.75" customHeight="1" x14ac:dyDescent="0.25">
      <c r="T961" s="40"/>
      <c r="U961" s="40"/>
      <c r="V961" s="41"/>
      <c r="AI961" s="40"/>
    </row>
    <row r="962" spans="20:35" ht="15.75" customHeight="1" x14ac:dyDescent="0.25">
      <c r="T962" s="40"/>
      <c r="U962" s="40"/>
      <c r="V962" s="41"/>
      <c r="AI962" s="40"/>
    </row>
    <row r="963" spans="20:35" ht="15.75" customHeight="1" x14ac:dyDescent="0.25">
      <c r="T963" s="40"/>
      <c r="U963" s="40"/>
      <c r="V963" s="41"/>
      <c r="AI963" s="40"/>
    </row>
    <row r="964" spans="20:35" ht="15.75" customHeight="1" x14ac:dyDescent="0.25">
      <c r="T964" s="40"/>
      <c r="U964" s="40"/>
      <c r="V964" s="41"/>
      <c r="AI964" s="40"/>
    </row>
    <row r="965" spans="20:35" ht="15.75" customHeight="1" x14ac:dyDescent="0.25">
      <c r="T965" s="40"/>
      <c r="U965" s="40"/>
      <c r="V965" s="41"/>
      <c r="AI965" s="40"/>
    </row>
    <row r="966" spans="20:35" ht="15.75" customHeight="1" x14ac:dyDescent="0.25">
      <c r="T966" s="40"/>
      <c r="U966" s="40"/>
      <c r="V966" s="41"/>
      <c r="AI966" s="40"/>
    </row>
    <row r="967" spans="20:35" ht="15.75" customHeight="1" x14ac:dyDescent="0.25">
      <c r="T967" s="40"/>
      <c r="U967" s="40"/>
      <c r="V967" s="41"/>
      <c r="AI967" s="40"/>
    </row>
    <row r="968" spans="20:35" ht="15.75" customHeight="1" x14ac:dyDescent="0.25">
      <c r="T968" s="40"/>
      <c r="U968" s="40"/>
      <c r="V968" s="41"/>
      <c r="AI968" s="40"/>
    </row>
    <row r="969" spans="20:35" ht="15.75" customHeight="1" x14ac:dyDescent="0.25">
      <c r="T969" s="40"/>
      <c r="U969" s="40"/>
      <c r="V969" s="41"/>
      <c r="AI969" s="40"/>
    </row>
    <row r="970" spans="20:35" ht="15.75" customHeight="1" x14ac:dyDescent="0.25">
      <c r="T970" s="40"/>
      <c r="U970" s="40"/>
      <c r="V970" s="41"/>
      <c r="AI970" s="40"/>
    </row>
    <row r="971" spans="20:35" ht="15.75" customHeight="1" x14ac:dyDescent="0.25">
      <c r="T971" s="40"/>
      <c r="U971" s="40"/>
      <c r="V971" s="41"/>
      <c r="AI971" s="40"/>
    </row>
    <row r="972" spans="20:35" ht="15.75" customHeight="1" x14ac:dyDescent="0.25">
      <c r="T972" s="40"/>
      <c r="U972" s="40"/>
      <c r="V972" s="41"/>
      <c r="AI972" s="40"/>
    </row>
    <row r="973" spans="20:35" ht="15.75" customHeight="1" x14ac:dyDescent="0.25">
      <c r="T973" s="40"/>
      <c r="U973" s="40"/>
      <c r="V973" s="41"/>
      <c r="AI973" s="40"/>
    </row>
    <row r="974" spans="20:35" ht="15.75" customHeight="1" x14ac:dyDescent="0.25">
      <c r="T974" s="40"/>
      <c r="U974" s="40"/>
      <c r="V974" s="41"/>
      <c r="AI974" s="40"/>
    </row>
    <row r="975" spans="20:35" ht="15.75" customHeight="1" x14ac:dyDescent="0.25">
      <c r="T975" s="40"/>
      <c r="U975" s="40"/>
      <c r="V975" s="41"/>
      <c r="AI975" s="40"/>
    </row>
    <row r="976" spans="20:35" ht="15.75" customHeight="1" x14ac:dyDescent="0.25">
      <c r="T976" s="40"/>
      <c r="U976" s="40"/>
      <c r="V976" s="41"/>
      <c r="AI976" s="40"/>
    </row>
    <row r="977" spans="20:35" ht="15.75" customHeight="1" x14ac:dyDescent="0.25">
      <c r="T977" s="40"/>
      <c r="U977" s="40"/>
      <c r="V977" s="41"/>
      <c r="AI977" s="40"/>
    </row>
    <row r="978" spans="20:35" ht="15.75" customHeight="1" x14ac:dyDescent="0.25">
      <c r="T978" s="40"/>
      <c r="U978" s="40"/>
      <c r="V978" s="41"/>
      <c r="AI978" s="40"/>
    </row>
    <row r="979" spans="20:35" ht="15.75" customHeight="1" x14ac:dyDescent="0.25">
      <c r="T979" s="40"/>
      <c r="U979" s="40"/>
      <c r="V979" s="41"/>
      <c r="AI979" s="40"/>
    </row>
    <row r="980" spans="20:35" ht="15.75" customHeight="1" x14ac:dyDescent="0.25">
      <c r="T980" s="40"/>
      <c r="U980" s="40"/>
      <c r="V980" s="41"/>
      <c r="AI980" s="40"/>
    </row>
    <row r="981" spans="20:35" ht="15.75" customHeight="1" x14ac:dyDescent="0.25">
      <c r="T981" s="40"/>
      <c r="U981" s="40"/>
      <c r="V981" s="41"/>
      <c r="AI981" s="40"/>
    </row>
    <row r="982" spans="20:35" ht="15.75" customHeight="1" x14ac:dyDescent="0.25">
      <c r="T982" s="40"/>
      <c r="U982" s="40"/>
      <c r="V982" s="41"/>
      <c r="AI982" s="40"/>
    </row>
    <row r="983" spans="20:35" ht="15.75" customHeight="1" x14ac:dyDescent="0.25">
      <c r="T983" s="40"/>
      <c r="U983" s="40"/>
      <c r="V983" s="41"/>
      <c r="AI983" s="40"/>
    </row>
    <row r="984" spans="20:35" ht="15.75" customHeight="1" x14ac:dyDescent="0.25">
      <c r="T984" s="40"/>
      <c r="U984" s="40"/>
      <c r="V984" s="41"/>
      <c r="AI984" s="40"/>
    </row>
    <row r="985" spans="20:35" ht="15.75" customHeight="1" x14ac:dyDescent="0.25">
      <c r="T985" s="40"/>
      <c r="U985" s="40"/>
      <c r="V985" s="41"/>
      <c r="AI985" s="40"/>
    </row>
    <row r="986" spans="20:35" ht="15.75" customHeight="1" x14ac:dyDescent="0.25">
      <c r="T986" s="40"/>
      <c r="U986" s="40"/>
      <c r="V986" s="41"/>
      <c r="AI986" s="40"/>
    </row>
    <row r="987" spans="20:35" ht="15.75" customHeight="1" x14ac:dyDescent="0.25">
      <c r="T987" s="40"/>
      <c r="U987" s="40"/>
      <c r="V987" s="41"/>
      <c r="AI987" s="40"/>
    </row>
    <row r="988" spans="20:35" ht="15.75" customHeight="1" x14ac:dyDescent="0.25">
      <c r="T988" s="40"/>
      <c r="U988" s="40"/>
      <c r="V988" s="41"/>
      <c r="AI988" s="40"/>
    </row>
    <row r="989" spans="20:35" ht="15.75" customHeight="1" x14ac:dyDescent="0.25">
      <c r="T989" s="40"/>
      <c r="U989" s="40"/>
      <c r="V989" s="41"/>
      <c r="AI989" s="40"/>
    </row>
    <row r="990" spans="20:35" ht="15.75" customHeight="1" x14ac:dyDescent="0.25">
      <c r="T990" s="40"/>
      <c r="U990" s="40"/>
      <c r="V990" s="41"/>
      <c r="AI990" s="40"/>
    </row>
    <row r="991" spans="20:35" ht="15.75" customHeight="1" x14ac:dyDescent="0.25">
      <c r="T991" s="40"/>
      <c r="U991" s="40"/>
      <c r="V991" s="41"/>
      <c r="AI991" s="40"/>
    </row>
    <row r="992" spans="20:35" ht="15.75" customHeight="1" x14ac:dyDescent="0.25">
      <c r="T992" s="40"/>
      <c r="U992" s="40"/>
      <c r="V992" s="41"/>
      <c r="AI992" s="40"/>
    </row>
    <row r="993" spans="20:35" ht="15.75" customHeight="1" x14ac:dyDescent="0.25">
      <c r="T993" s="40"/>
      <c r="U993" s="40"/>
      <c r="V993" s="41"/>
      <c r="AI993" s="40"/>
    </row>
    <row r="994" spans="20:35" ht="15.75" customHeight="1" x14ac:dyDescent="0.25">
      <c r="T994" s="40"/>
      <c r="U994" s="40"/>
      <c r="V994" s="41"/>
      <c r="AI994" s="40"/>
    </row>
    <row r="995" spans="20:35" ht="15.75" customHeight="1" x14ac:dyDescent="0.25">
      <c r="T995" s="40"/>
      <c r="U995" s="40"/>
      <c r="V995" s="41"/>
      <c r="AI995" s="40"/>
    </row>
    <row r="996" spans="20:35" ht="15.75" customHeight="1" x14ac:dyDescent="0.25">
      <c r="T996" s="40"/>
      <c r="U996" s="40"/>
      <c r="V996" s="41"/>
      <c r="AI996" s="40"/>
    </row>
    <row r="997" spans="20:35" ht="15.75" customHeight="1" x14ac:dyDescent="0.25">
      <c r="T997" s="40"/>
      <c r="U997" s="40"/>
      <c r="V997" s="41"/>
      <c r="AI997" s="40"/>
    </row>
  </sheetData>
  <autoFilter ref="A4:AI118" xr:uid="{00000000-0001-0000-0000-000000000000}">
    <sortState xmlns:xlrd2="http://schemas.microsoft.com/office/spreadsheetml/2017/richdata2" ref="A5:AI118">
      <sortCondition ref="B4:B118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Ago-2026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Ricardo</dc:creator>
  <cp:lastModifiedBy>DP Mania de Moveis</cp:lastModifiedBy>
  <cp:lastPrinted>2026-09-01T12:12:17Z</cp:lastPrinted>
  <dcterms:created xsi:type="dcterms:W3CDTF">2025-07-21T09:59:32Z</dcterms:created>
  <dcterms:modified xsi:type="dcterms:W3CDTF">2026-09-01T13:06:26Z</dcterms:modified>
</cp:coreProperties>
</file>